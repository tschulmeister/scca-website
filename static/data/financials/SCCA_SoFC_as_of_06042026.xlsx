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SoF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<sst xmlns="http://schemas.openxmlformats.org/spreadsheetml/2006/main" count="30" uniqueCount="30">
  <si>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SHIPLEY'S CHOICE COMMUNITY ASSOCIATION</t>
  </si>
  <si>
    <t xml:space="preserve">STATEMENT OF FINANCIAL CONDITION</t>
  </si>
  <si>
    <t xml:space="preserve">as of 06/04/2026</t>
  </si>
  <si>
    <t xml:space="preserve">To: Shipley's Choice Community Assoc. (SCAA), Officers, Directors and Members</t>
  </si>
  <si>
    <t xml:space="preserve">From: SCCA Treasurer</t>
  </si>
  <si>
    <t xml:space="preserve">Subject: Statement of Financial Condition </t>
  </si>
  <si>
    <t xml:space="preserve">Checking Balance as of 6/4/26</t>
  </si>
  <si>
    <t xml:space="preserve">Remaning Playground Funds for Section 2</t>
  </si>
  <si>
    <t xml:space="preserve">Outstanding  Checks</t>
  </si>
  <si>
    <t xml:space="preserve">Balance after Outstanding Checks + Playground Funds</t>
  </si>
  <si>
    <t xml:space="preserve">Expenses</t>
  </si>
  <si>
    <t xml:space="preserve">Actual</t>
  </si>
  <si>
    <t xml:space="preserve">Budgeted</t>
  </si>
  <si>
    <t xml:space="preserve">Difference</t>
  </si>
  <si>
    <t xml:space="preserve">Lawn Maintenance</t>
  </si>
  <si>
    <t xml:space="preserve">Garden Club</t>
  </si>
  <si>
    <t xml:space="preserve">Real Property taxes</t>
  </si>
  <si>
    <t xml:space="preserve">Access Tree Removal</t>
  </si>
  <si>
    <t xml:space="preserve">BGE</t>
  </si>
  <si>
    <t xml:space="preserve">Insurance</t>
  </si>
  <si>
    <t xml:space="preserve">Association Memberships</t>
  </si>
  <si>
    <t xml:space="preserve">Website renewal</t>
  </si>
  <si>
    <t xml:space="preserve">Misc (checks, paper statements, SCSTC)</t>
  </si>
  <si>
    <t xml:space="preserve">Total </t>
  </si>
  <si>
    <t xml:space="preserve">NOTE:</t>
  </si>
  <si>
    <t xml:space="preserve">1. 215 people paid in 2022 (76%)</t>
  </si>
  <si>
    <t xml:space="preserve">2. 210 people paid in 2023 (74%)</t>
  </si>
  <si>
    <t xml:space="preserve">3. 205 people paid in 2024 (72%)</t>
  </si>
  <si>
    <t xml:space="preserve">4. 196 people paid in 2025 (69%)</t>
  </si>
  <si>
    <t xml:space="preserve">5. 194 people paid in 2026 (69%)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</si>
</sst>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\$#,##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rgb="FF22222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64.29"/>
    <col collapsed="false" customWidth="true" hidden="false" outlineLevel="0" max="2" min="2" style="0" width="2.42"/>
    <col collapsed="false" customWidth="true" hidden="false" outlineLevel="0" max="3" min="3" style="0" width="10.57"/>
    <col collapsed="false" customWidth="true" hidden="false" outlineLevel="0" max="5" min="4" style="0" width="11.57"/>
    <col collapsed="false" customWidth="true" hidden="false" outlineLevel="0" max="6" min="6" style="0" width="8"/>
    <col collapsed="false" customWidth="true" hidden="false" outlineLevel="0" max="26" min="7" style="0" width="7.57"/>
  </cols>
  <sheetData>
    <row r="1" customFormat="false" ht="15.75" hidden="false" customHeight="true" outlineLevel="0" collapsed="false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 t="s">
        <v>1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4" t="s">
        <v>6</v>
      </c>
      <c r="B11" s="2"/>
      <c r="C11" s="5" t="n">
        <v>8227.91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4" t="s">
        <v>7</v>
      </c>
      <c r="B12" s="2"/>
      <c r="C12" s="5" t="n">
        <v>1464.7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" t="s">
        <v>8</v>
      </c>
      <c r="B13" s="2"/>
      <c r="C13" s="6" t="n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4" t="s">
        <v>9</v>
      </c>
      <c r="B14" s="2"/>
      <c r="C14" s="7" t="n">
        <f aca="false">C11-C12-C13</f>
        <v>6763.21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8" t="s">
        <v>10</v>
      </c>
      <c r="B16" s="2"/>
      <c r="C16" s="9" t="s">
        <v>11</v>
      </c>
      <c r="D16" s="10" t="s">
        <v>12</v>
      </c>
      <c r="E16" s="10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4" t="s">
        <v>14</v>
      </c>
      <c r="B17" s="2"/>
      <c r="C17" s="11" t="n">
        <v>845</v>
      </c>
      <c r="D17" s="12" t="n">
        <v>3500</v>
      </c>
      <c r="E17" s="13" t="n">
        <f aca="false">SUM(D17-C17)</f>
        <v>2655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15</v>
      </c>
      <c r="B18" s="2"/>
      <c r="C18" s="5"/>
      <c r="D18" s="12" t="n">
        <v>400</v>
      </c>
      <c r="E18" s="13" t="n">
        <f aca="false">SUM(D18-C18)</f>
        <v>400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16</v>
      </c>
      <c r="B19" s="2"/>
      <c r="C19" s="5"/>
      <c r="D19" s="12" t="n">
        <v>55</v>
      </c>
      <c r="E19" s="13" t="n">
        <f aca="false">SUM(D19-C19)</f>
        <v>55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4" t="s">
        <v>17</v>
      </c>
      <c r="B20" s="2"/>
      <c r="C20" s="5"/>
      <c r="D20" s="12" t="n">
        <v>8000</v>
      </c>
      <c r="E20" s="13" t="n">
        <f aca="false">SUM(D20-C20)</f>
        <v>8000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4" t="s">
        <v>18</v>
      </c>
      <c r="B21" s="2"/>
      <c r="C21" s="11" t="n">
        <v>153.44</v>
      </c>
      <c r="D21" s="12" t="n">
        <v>300</v>
      </c>
      <c r="E21" s="13" t="n">
        <f aca="false">SUM(D21-C21)</f>
        <v>146.56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" t="s">
        <v>19</v>
      </c>
      <c r="B22" s="2"/>
      <c r="C22" s="11" t="n">
        <v>4279</v>
      </c>
      <c r="D22" s="12" t="n">
        <v>3850</v>
      </c>
      <c r="E22" s="13" t="n">
        <f aca="false">SUM(D22-C22)</f>
        <v>-429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" t="s">
        <v>20</v>
      </c>
      <c r="B23" s="2"/>
      <c r="C23" s="11" t="n">
        <v>100</v>
      </c>
      <c r="D23" s="12" t="n">
        <v>200</v>
      </c>
      <c r="E23" s="13" t="n">
        <f aca="false">SUM(D23-C23)</f>
        <v>100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4" t="s">
        <v>21</v>
      </c>
      <c r="B24" s="2"/>
      <c r="C24" s="5"/>
      <c r="D24" s="12" t="n">
        <v>125</v>
      </c>
      <c r="E24" s="13" t="n">
        <f aca="false">SUM(D24-C24)</f>
        <v>125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14" t="s">
        <v>22</v>
      </c>
      <c r="B25" s="2"/>
      <c r="C25" s="15" t="n">
        <v>64.64</v>
      </c>
      <c r="D25" s="16" t="n">
        <v>120</v>
      </c>
      <c r="E25" s="16" t="n">
        <f aca="false">SUM(D25-C25)</f>
        <v>55.36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1" t="s">
        <v>23</v>
      </c>
      <c r="B26" s="2"/>
      <c r="C26" s="7" t="n">
        <f aca="false">SUM(C17:C25)</f>
        <v>5442.08</v>
      </c>
      <c r="D26" s="13" t="n">
        <f aca="false">SUM(D17:D25)</f>
        <v>16550</v>
      </c>
      <c r="E26" s="13" t="n">
        <f aca="false">SUM(D26-C26)</f>
        <v>11107.92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 t="s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 t="s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 t="s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4" t="s">
        <v>27</v>
      </c>
      <c r="B31" s="2"/>
      <c r="C31" s="1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" t="s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4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2026-09-18T19:18:44Z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