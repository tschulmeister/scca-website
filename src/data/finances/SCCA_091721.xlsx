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amilton\Desktop\Desktop\SCCA\Monthly Financial Reports\"/>
    </mc:Choice>
  </mc:AlternateContent>
  <xr:revisionPtr revIDLastSave="0" documentId="13_ncr:1_{8B74E591-2FB5-4169-9FAE-84BFCEBA081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Financials" sheetId="1" r:id="rId1"/>
    <sheet name="Dues Tally" sheetId="8" state="hidden" r:id="rId2"/>
  </sheets>
  <externalReferences>
    <externalReference r:id="rId3"/>
  </externalReferences>
  <definedNames>
    <definedName name="_xlnm.Print_Area" localSheetId="1">'Dues Tally'!$A$1:$D$30</definedName>
    <definedName name="_xlnm.Print_Area" localSheetId="0">Financials!$A$1:$E$38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1" i="1" l="1"/>
  <c r="C22" i="1"/>
  <c r="C17" i="1"/>
  <c r="C24" i="1"/>
  <c r="C20" i="1"/>
  <c r="C19" i="1"/>
  <c r="C13" i="1"/>
  <c r="C33" i="1" l="1"/>
  <c r="C39" i="1" l="1"/>
  <c r="C41" i="1" s="1"/>
  <c r="B29" i="8" l="1"/>
  <c r="B28" i="8"/>
  <c r="B30" i="8" s="1"/>
  <c r="C23" i="8"/>
  <c r="B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C29" i="1" l="1"/>
</calcChain>
</file>

<file path=xl/sharedStrings.xml><?xml version="1.0" encoding="utf-8"?>
<sst xmlns="http://schemas.openxmlformats.org/spreadsheetml/2006/main" count="57" uniqueCount="56">
  <si>
    <t>SHIPLEY'S CHOICE COMMUNITY ASSOCIATION</t>
  </si>
  <si>
    <t>STATEMENT OF FINANCIAL CONDITION</t>
  </si>
  <si>
    <t>To: Shipley's Choice Community Assoc. (SCAA), Officers, Directors and Members</t>
  </si>
  <si>
    <t>From: Amy Hamilton, Treasurer</t>
  </si>
  <si>
    <t>Subject: SCAA Statement of Financial Condition</t>
  </si>
  <si>
    <t>Total Funds:</t>
  </si>
  <si>
    <t>Lawn Maintenance</t>
  </si>
  <si>
    <t>Aspen Grove</t>
  </si>
  <si>
    <t>Garden Club</t>
  </si>
  <si>
    <t>Real Property taxes</t>
  </si>
  <si>
    <t>BGE</t>
  </si>
  <si>
    <t>Insurance</t>
  </si>
  <si>
    <t xml:space="preserve">Total </t>
  </si>
  <si>
    <t>Association Memberships</t>
  </si>
  <si>
    <t>Tree Removal</t>
  </si>
  <si>
    <t>Street Name</t>
  </si>
  <si>
    <t># of house</t>
  </si>
  <si>
    <t># paid</t>
  </si>
  <si>
    <t>% paid</t>
  </si>
  <si>
    <t>Arbor Oaks Court</t>
  </si>
  <si>
    <t>Boxelder Court</t>
  </si>
  <si>
    <t>Braeburn Glen Court</t>
  </si>
  <si>
    <t>Briarwick Court</t>
  </si>
  <si>
    <t>Broadleaf Court</t>
  </si>
  <si>
    <t>Candlewood Court</t>
  </si>
  <si>
    <t>Galena Court</t>
  </si>
  <si>
    <t>Gambel Oak Court</t>
  </si>
  <si>
    <t>Lazywood Court</t>
  </si>
  <si>
    <t>Live Oak Drive</t>
  </si>
  <si>
    <t>Oak Stump Drive</t>
  </si>
  <si>
    <t>Rustling Oaks Drive</t>
  </si>
  <si>
    <t>Scarlet Oak Drive</t>
  </si>
  <si>
    <t>Severncrest Drive</t>
  </si>
  <si>
    <t>Songwood Court</t>
  </si>
  <si>
    <t>Tanglewood Court</t>
  </si>
  <si>
    <t>West Benfield Road</t>
  </si>
  <si>
    <t>Windfern Court</t>
  </si>
  <si>
    <t>Wood Shadows Court</t>
  </si>
  <si>
    <t>Totals</t>
  </si>
  <si>
    <t># used paypal</t>
  </si>
  <si>
    <t># who paid extra</t>
  </si>
  <si>
    <t>Extra funds</t>
  </si>
  <si>
    <t>Regular Dues</t>
  </si>
  <si>
    <t>Total collected</t>
  </si>
  <si>
    <t>Dues Collected as of 2-2-20</t>
  </si>
  <si>
    <t>Expenses above which haven't cleared bank</t>
  </si>
  <si>
    <t>True Bank Balance</t>
  </si>
  <si>
    <t>Dues Refund</t>
  </si>
  <si>
    <t>IRS Payment</t>
  </si>
  <si>
    <t>Website</t>
  </si>
  <si>
    <t>Total Expenses</t>
  </si>
  <si>
    <t>AS OF  09/09/2021</t>
  </si>
  <si>
    <t>Access Tree Service</t>
  </si>
  <si>
    <t>Checking as of : 08/31/2021</t>
  </si>
  <si>
    <t>YTD Expenses as of 09/17/2021</t>
  </si>
  <si>
    <t>Checking as of : 08/31/21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</si>
</sst>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sz val="10"/>
      <name val="MS Sans Serif"/>
    </font>
    <font>
      <b/>
      <sz val="10"/>
      <name val="MS Sans Serif"/>
    </font>
    <font>
      <sz val="11"/>
      <name val="Arial"/>
      <family val="2"/>
    </font>
    <font>
      <b/>
      <sz val="11"/>
      <name val="Arial"/>
      <family val="2"/>
    </font>
    <font>
      <b/>
      <sz val="10"/>
      <color rgb="FFFF0000"/>
      <name val="MS Sans Serif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</cellStyleXfs>
  <cellXfs count="33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0" fontId="3" fillId="0" borderId="0" xfId="0" applyFont="1"/>
    <xf numFmtId="44" fontId="3" fillId="0" borderId="0" xfId="1" applyFont="1"/>
    <xf numFmtId="44" fontId="0" fillId="0" borderId="0" xfId="1" applyFont="1" applyFill="1"/>
    <xf numFmtId="0" fontId="0" fillId="0" borderId="0" xfId="0" applyFill="1"/>
    <xf numFmtId="44" fontId="0" fillId="0" borderId="1" xfId="1" applyFont="1" applyFill="1" applyBorder="1"/>
    <xf numFmtId="9" fontId="5" fillId="0" borderId="0" xfId="3" applyFont="1" applyAlignment="1">
      <alignment horizontal="center"/>
    </xf>
    <xf numFmtId="9" fontId="0" fillId="0" borderId="0" xfId="3" applyFont="1"/>
    <xf numFmtId="9" fontId="5" fillId="0" borderId="0" xfId="3" applyFont="1"/>
    <xf numFmtId="44" fontId="0" fillId="0" borderId="0" xfId="3" applyNumberFormat="1" applyFont="1"/>
    <xf numFmtId="0" fontId="4" fillId="0" borderId="0" xfId="4"/>
    <xf numFmtId="0" fontId="5" fillId="0" borderId="0" xfId="4" applyFont="1"/>
    <xf numFmtId="0" fontId="5" fillId="0" borderId="0" xfId="4" applyFont="1" applyAlignment="1">
      <alignment horizontal="center"/>
    </xf>
    <xf numFmtId="0" fontId="6" fillId="0" borderId="0" xfId="4" applyFont="1"/>
    <xf numFmtId="0" fontId="6" fillId="0" borderId="0" xfId="4" applyFont="1" applyFill="1"/>
    <xf numFmtId="0" fontId="4" fillId="0" borderId="1" xfId="4" applyBorder="1"/>
    <xf numFmtId="0" fontId="7" fillId="0" borderId="0" xfId="4" applyFont="1"/>
    <xf numFmtId="0" fontId="4" fillId="0" borderId="0" xfId="4" applyFont="1"/>
    <xf numFmtId="44" fontId="4" fillId="0" borderId="0" xfId="4" applyNumberFormat="1"/>
    <xf numFmtId="44" fontId="4" fillId="0" borderId="1" xfId="4" applyNumberFormat="1" applyBorder="1"/>
    <xf numFmtId="0" fontId="9" fillId="0" borderId="0" xfId="0" applyFont="1"/>
    <xf numFmtId="44" fontId="9" fillId="0" borderId="0" xfId="1" applyFont="1"/>
    <xf numFmtId="0" fontId="10" fillId="0" borderId="0" xfId="0" applyFont="1"/>
    <xf numFmtId="0" fontId="0" fillId="2" borderId="0" xfId="0" applyFill="1"/>
    <xf numFmtId="44" fontId="0" fillId="2" borderId="0" xfId="1" applyFont="1" applyFill="1"/>
    <xf numFmtId="44" fontId="0" fillId="0" borderId="1" xfId="1" applyFont="1" applyBorder="1"/>
    <xf numFmtId="0" fontId="11" fillId="0" borderId="0" xfId="0" applyFont="1"/>
    <xf numFmtId="0" fontId="2" fillId="0" borderId="0" xfId="0" applyFont="1" applyFill="1"/>
    <xf numFmtId="44" fontId="11" fillId="0" borderId="2" xfId="1" applyFont="1" applyBorder="1"/>
    <xf numFmtId="0" fontId="8" fillId="0" borderId="0" xfId="4" applyFont="1" applyAlignment="1">
      <alignment horizontal="center"/>
    </xf>
  </cellXfs>
  <cellStyles count="5">
    <cellStyle name="Currency" xfId="1" builtinId="4"/>
    <cellStyle name="Normal" xfId="0" builtinId="0"/>
    <cellStyle name="Normal 2" xfId="2" xr:uid="{00000000-0005-0000-0000-000002000000}"/>
    <cellStyle name="Normal 2 2" xfId="4" xr:uid="{DE69417F-E060-43FD-9A49-09946DBEE436}"/>
    <cellStyle name="Percent 2" xfId="3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hamilton/Desktop/SCCA/SCCA_Dues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CA Dues Notices "/>
      <sheetName val="Dues Tally"/>
    </sheetNames>
    <sheetDataSet>
      <sheetData sheetId="0">
        <row r="292">
          <cell r="K292">
            <v>1543.55</v>
          </cell>
        </row>
        <row r="293">
          <cell r="K293">
            <v>10872.82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tabSelected="1" topLeftCell="A7" zoomScaleNormal="100" workbookViewId="0">
      <selection activeCell="C21" sqref="C21"/>
    </sheetView>
  </sheetViews>
  <sheetFormatPr defaultRowHeight="15" x14ac:dyDescent="0.25"/>
  <cols>
    <col min="1" max="1" width="30.85546875" customWidth="1"/>
    <col min="2" max="2" width="11.5703125" customWidth="1"/>
    <col min="3" max="3" width="16" bestFit="1" customWidth="1"/>
    <col min="5" max="6" width="12.28515625" bestFit="1" customWidth="1"/>
  </cols>
  <sheetData>
    <row r="1" spans="1:7" s="2" customFormat="1" x14ac:dyDescent="0.25">
      <c r="A1" s="2" t="s">
        <v>0</v>
      </c>
    </row>
    <row r="3" spans="1:7" x14ac:dyDescent="0.25">
      <c r="A3" t="s">
        <v>1</v>
      </c>
    </row>
    <row r="4" spans="1:7" x14ac:dyDescent="0.25">
      <c r="A4" t="s">
        <v>51</v>
      </c>
    </row>
    <row r="6" spans="1:7" x14ac:dyDescent="0.25">
      <c r="A6" t="s">
        <v>2</v>
      </c>
    </row>
    <row r="8" spans="1:7" x14ac:dyDescent="0.25">
      <c r="A8" t="s">
        <v>3</v>
      </c>
      <c r="C8" s="1"/>
      <c r="D8" s="1"/>
      <c r="E8" s="1"/>
      <c r="F8" s="1"/>
      <c r="G8" s="1"/>
    </row>
    <row r="9" spans="1:7" x14ac:dyDescent="0.25">
      <c r="A9" t="s">
        <v>4</v>
      </c>
      <c r="C9" s="1"/>
      <c r="D9" s="1"/>
      <c r="E9" s="1"/>
      <c r="F9" s="1"/>
      <c r="G9" s="1"/>
    </row>
    <row r="10" spans="1:7" x14ac:dyDescent="0.25">
      <c r="C10" s="1"/>
      <c r="D10" s="1"/>
      <c r="E10" s="1"/>
      <c r="F10" s="1"/>
      <c r="G10" s="1"/>
    </row>
    <row r="11" spans="1:7" x14ac:dyDescent="0.25">
      <c r="A11" s="7" t="s">
        <v>53</v>
      </c>
      <c r="B11" s="7"/>
      <c r="C11" s="1">
        <v>7619.32</v>
      </c>
      <c r="D11" s="1"/>
      <c r="E11" s="1"/>
      <c r="F11" s="1"/>
      <c r="G11" s="1"/>
    </row>
    <row r="12" spans="1:7" x14ac:dyDescent="0.25">
      <c r="C12" s="1"/>
      <c r="D12" s="1"/>
      <c r="E12" s="1"/>
      <c r="F12" s="1"/>
      <c r="G12" s="1"/>
    </row>
    <row r="13" spans="1:7" s="4" customFormat="1" ht="18.75" x14ac:dyDescent="0.3">
      <c r="A13" s="23" t="s">
        <v>5</v>
      </c>
      <c r="B13" s="23"/>
      <c r="C13" s="24">
        <f>C11</f>
        <v>7619.32</v>
      </c>
      <c r="D13" s="5"/>
      <c r="E13" s="5"/>
      <c r="F13" s="5"/>
      <c r="G13" s="5"/>
    </row>
    <row r="14" spans="1:7" x14ac:dyDescent="0.25">
      <c r="C14" s="1"/>
      <c r="D14" s="1"/>
      <c r="E14" s="1"/>
      <c r="F14" s="1"/>
      <c r="G14" s="1"/>
    </row>
    <row r="15" spans="1:7" x14ac:dyDescent="0.25">
      <c r="C15" s="1"/>
      <c r="D15" s="1"/>
      <c r="E15" s="1"/>
      <c r="F15" s="1"/>
      <c r="G15" s="1"/>
    </row>
    <row r="16" spans="1:7" x14ac:dyDescent="0.25">
      <c r="A16" s="2" t="s">
        <v>54</v>
      </c>
      <c r="C16" s="1"/>
      <c r="D16" s="1"/>
      <c r="E16" s="1"/>
      <c r="F16" s="1"/>
      <c r="G16" s="1"/>
    </row>
    <row r="17" spans="1:7" x14ac:dyDescent="0.25">
      <c r="A17" t="s">
        <v>6</v>
      </c>
      <c r="C17" s="6">
        <f>125+125+125+125+125+125+125+125</f>
        <v>1000</v>
      </c>
      <c r="D17" s="1"/>
      <c r="E17" s="1"/>
      <c r="F17" s="1"/>
      <c r="G17" s="1"/>
    </row>
    <row r="18" spans="1:7" x14ac:dyDescent="0.25">
      <c r="A18" t="s">
        <v>7</v>
      </c>
      <c r="C18" s="6">
        <v>0</v>
      </c>
      <c r="D18" s="1"/>
      <c r="E18" s="1"/>
      <c r="F18" s="1"/>
      <c r="G18" s="1"/>
    </row>
    <row r="19" spans="1:7" x14ac:dyDescent="0.25">
      <c r="A19" t="s">
        <v>8</v>
      </c>
      <c r="C19" s="6">
        <f>61.72+122.78</f>
        <v>184.5</v>
      </c>
      <c r="D19" s="1"/>
      <c r="E19" s="1"/>
      <c r="F19" s="1"/>
      <c r="G19" s="1"/>
    </row>
    <row r="20" spans="1:7" x14ac:dyDescent="0.25">
      <c r="A20" t="s">
        <v>9</v>
      </c>
      <c r="C20" s="6">
        <f>50.24</f>
        <v>50.24</v>
      </c>
      <c r="D20" s="1"/>
      <c r="E20" s="1"/>
      <c r="F20" s="1"/>
      <c r="G20" s="1"/>
    </row>
    <row r="21" spans="1:7" x14ac:dyDescent="0.25">
      <c r="A21" t="s">
        <v>14</v>
      </c>
      <c r="C21" s="6">
        <f>1800+3000+800+600+2500+1500+1950+1300+800</f>
        <v>14250</v>
      </c>
      <c r="D21" s="1"/>
      <c r="E21" s="1"/>
      <c r="F21" s="1"/>
      <c r="G21" s="1"/>
    </row>
    <row r="22" spans="1:7" x14ac:dyDescent="0.25">
      <c r="A22" t="s">
        <v>10</v>
      </c>
      <c r="C22" s="6">
        <f>25.385+17.17+16.72+16.8+16.23+14.39+14.41+16.54+17.04</f>
        <v>154.685</v>
      </c>
      <c r="D22" s="1"/>
      <c r="E22" s="1"/>
      <c r="F22" s="1"/>
      <c r="G22" s="1"/>
    </row>
    <row r="23" spans="1:7" x14ac:dyDescent="0.25">
      <c r="A23" t="s">
        <v>11</v>
      </c>
      <c r="C23" s="6">
        <v>1698</v>
      </c>
      <c r="D23" s="1"/>
      <c r="E23" s="1"/>
      <c r="F23" s="1"/>
      <c r="G23" s="1"/>
    </row>
    <row r="24" spans="1:7" x14ac:dyDescent="0.25">
      <c r="A24" t="s">
        <v>13</v>
      </c>
      <c r="C24" s="6">
        <f>100+35</f>
        <v>135</v>
      </c>
      <c r="D24" s="1"/>
      <c r="E24" s="1"/>
      <c r="F24" s="1"/>
      <c r="G24" s="1"/>
    </row>
    <row r="25" spans="1:7" x14ac:dyDescent="0.25">
      <c r="A25" t="s">
        <v>47</v>
      </c>
      <c r="C25" s="6">
        <v>35</v>
      </c>
      <c r="D25" s="1"/>
      <c r="E25" s="1"/>
      <c r="F25" s="1"/>
      <c r="G25" s="1"/>
    </row>
    <row r="26" spans="1:7" x14ac:dyDescent="0.25">
      <c r="A26" t="s">
        <v>48</v>
      </c>
      <c r="C26" s="6">
        <v>7.8</v>
      </c>
      <c r="D26" s="1"/>
      <c r="E26" s="1"/>
      <c r="F26" s="1"/>
      <c r="G26" s="1"/>
    </row>
    <row r="27" spans="1:7" x14ac:dyDescent="0.25">
      <c r="A27" t="s">
        <v>49</v>
      </c>
      <c r="C27" s="6">
        <v>119</v>
      </c>
      <c r="D27" s="1"/>
      <c r="E27" s="1"/>
      <c r="F27" s="1"/>
      <c r="G27" s="1"/>
    </row>
    <row r="28" spans="1:7" x14ac:dyDescent="0.25">
      <c r="C28" s="8"/>
      <c r="D28" s="1"/>
      <c r="E28" s="1"/>
      <c r="F28" s="1"/>
      <c r="G28" s="1"/>
    </row>
    <row r="29" spans="1:7" x14ac:dyDescent="0.25">
      <c r="A29" s="2" t="s">
        <v>12</v>
      </c>
      <c r="C29" s="3">
        <f>SUM(C17:C28)</f>
        <v>17634.224999999999</v>
      </c>
      <c r="D29" s="1"/>
      <c r="E29" s="1"/>
      <c r="F29" s="1"/>
      <c r="G29" s="1"/>
    </row>
    <row r="30" spans="1:7" ht="15.75" x14ac:dyDescent="0.25">
      <c r="A30" s="23"/>
      <c r="B30" s="25"/>
      <c r="C30" s="24"/>
      <c r="D30" s="1"/>
      <c r="E30" s="1"/>
      <c r="F30" s="1"/>
      <c r="G30" s="1"/>
    </row>
    <row r="31" spans="1:7" x14ac:dyDescent="0.25">
      <c r="A31" s="26"/>
      <c r="B31" s="26"/>
      <c r="C31" s="27"/>
      <c r="D31" s="1"/>
      <c r="E31" s="1"/>
      <c r="F31" s="1"/>
      <c r="G31" s="1"/>
    </row>
    <row r="32" spans="1:7" s="2" customFormat="1" x14ac:dyDescent="0.25">
      <c r="A32"/>
      <c r="B32"/>
      <c r="C32"/>
    </row>
    <row r="33" spans="1:3" s="2" customFormat="1" x14ac:dyDescent="0.25">
      <c r="A33" s="30" t="s">
        <v>55</v>
      </c>
      <c r="B33" s="30"/>
      <c r="C33" s="3">
        <f>C11</f>
        <v>7619.32</v>
      </c>
    </row>
    <row r="35" spans="1:3" x14ac:dyDescent="0.25">
      <c r="A35" s="2" t="s">
        <v>45</v>
      </c>
    </row>
    <row r="36" spans="1:3" x14ac:dyDescent="0.25">
      <c r="A36" t="s">
        <v>6</v>
      </c>
      <c r="C36" s="1">
        <v>125</v>
      </c>
    </row>
    <row r="37" spans="1:3" x14ac:dyDescent="0.25">
      <c r="A37" t="s">
        <v>52</v>
      </c>
      <c r="C37" s="1">
        <v>3000</v>
      </c>
    </row>
    <row r="38" spans="1:3" x14ac:dyDescent="0.25">
      <c r="C38" s="28"/>
    </row>
    <row r="39" spans="1:3" s="2" customFormat="1" x14ac:dyDescent="0.25">
      <c r="A39" s="2" t="s">
        <v>50</v>
      </c>
      <c r="C39" s="3">
        <f>SUM(C36:C38)</f>
        <v>3125</v>
      </c>
    </row>
    <row r="40" spans="1:3" x14ac:dyDescent="0.25">
      <c r="C40" s="1"/>
    </row>
    <row r="41" spans="1:3" ht="19.5" thickBot="1" x14ac:dyDescent="0.35">
      <c r="A41" s="29" t="s">
        <v>46</v>
      </c>
      <c r="B41" s="29"/>
      <c r="C41" s="31">
        <f>C33-C39</f>
        <v>4494.32</v>
      </c>
    </row>
    <row r="42" spans="1:3" ht="15.75" thickTop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CA94-D9C3-4F35-A0E2-E98805E2D0E8}">
  <dimension ref="A1:D30"/>
  <sheetViews>
    <sheetView topLeftCell="A19" workbookViewId="0">
      <selection activeCell="A2" sqref="A2"/>
    </sheetView>
  </sheetViews>
  <sheetFormatPr defaultColWidth="8.7109375" defaultRowHeight="15" x14ac:dyDescent="0.25"/>
  <cols>
    <col min="1" max="1" width="22" style="20" bestFit="1" customWidth="1"/>
    <col min="2" max="2" width="11.42578125" style="13" bestFit="1" customWidth="1"/>
    <col min="3" max="3" width="7.42578125" style="13" bestFit="1" customWidth="1"/>
    <col min="4" max="4" width="10" style="10" bestFit="1" customWidth="1"/>
    <col min="5" max="16384" width="8.7109375" style="13"/>
  </cols>
  <sheetData>
    <row r="1" spans="1:4" ht="12.75" x14ac:dyDescent="0.2">
      <c r="A1" s="32" t="s">
        <v>44</v>
      </c>
      <c r="B1" s="32"/>
      <c r="C1" s="32"/>
      <c r="D1" s="32"/>
    </row>
    <row r="2" spans="1:4" ht="12.75" x14ac:dyDescent="0.2">
      <c r="A2" s="14" t="s">
        <v>15</v>
      </c>
      <c r="B2" s="15" t="s">
        <v>16</v>
      </c>
      <c r="C2" s="15" t="s">
        <v>17</v>
      </c>
      <c r="D2" s="9" t="s">
        <v>18</v>
      </c>
    </row>
    <row r="4" spans="1:4" x14ac:dyDescent="0.25">
      <c r="A4" s="16" t="s">
        <v>19</v>
      </c>
      <c r="B4" s="13">
        <v>11</v>
      </c>
      <c r="C4" s="13">
        <v>8</v>
      </c>
      <c r="D4" s="10">
        <f>C4/B4</f>
        <v>0.72727272727272729</v>
      </c>
    </row>
    <row r="5" spans="1:4" x14ac:dyDescent="0.25">
      <c r="A5" s="16" t="s">
        <v>20</v>
      </c>
      <c r="B5" s="13">
        <v>10</v>
      </c>
      <c r="C5" s="13">
        <v>9</v>
      </c>
      <c r="D5" s="10">
        <f t="shared" ref="D5:D22" si="0">C5/B5</f>
        <v>0.9</v>
      </c>
    </row>
    <row r="6" spans="1:4" x14ac:dyDescent="0.25">
      <c r="A6" s="16" t="s">
        <v>21</v>
      </c>
      <c r="B6" s="13">
        <v>16</v>
      </c>
      <c r="C6" s="13">
        <v>12</v>
      </c>
      <c r="D6" s="10">
        <f t="shared" si="0"/>
        <v>0.75</v>
      </c>
    </row>
    <row r="7" spans="1:4" x14ac:dyDescent="0.25">
      <c r="A7" s="16" t="s">
        <v>22</v>
      </c>
      <c r="B7" s="13">
        <v>10</v>
      </c>
      <c r="C7" s="13">
        <v>8</v>
      </c>
      <c r="D7" s="10">
        <f t="shared" si="0"/>
        <v>0.8</v>
      </c>
    </row>
    <row r="8" spans="1:4" x14ac:dyDescent="0.25">
      <c r="A8" s="16" t="s">
        <v>23</v>
      </c>
      <c r="B8" s="13">
        <v>12</v>
      </c>
      <c r="C8" s="13">
        <v>9</v>
      </c>
      <c r="D8" s="10">
        <f t="shared" si="0"/>
        <v>0.75</v>
      </c>
    </row>
    <row r="9" spans="1:4" x14ac:dyDescent="0.25">
      <c r="A9" s="16" t="s">
        <v>24</v>
      </c>
      <c r="B9" s="13">
        <v>8</v>
      </c>
      <c r="C9" s="13">
        <v>5</v>
      </c>
      <c r="D9" s="10">
        <f t="shared" si="0"/>
        <v>0.625</v>
      </c>
    </row>
    <row r="10" spans="1:4" x14ac:dyDescent="0.25">
      <c r="A10" s="17" t="s">
        <v>25</v>
      </c>
      <c r="B10" s="13">
        <v>8</v>
      </c>
      <c r="C10" s="13">
        <v>7</v>
      </c>
      <c r="D10" s="10">
        <f t="shared" si="0"/>
        <v>0.875</v>
      </c>
    </row>
    <row r="11" spans="1:4" x14ac:dyDescent="0.25">
      <c r="A11" s="16" t="s">
        <v>26</v>
      </c>
      <c r="B11" s="13">
        <v>14</v>
      </c>
      <c r="C11" s="13">
        <v>9</v>
      </c>
      <c r="D11" s="10">
        <f t="shared" si="0"/>
        <v>0.6428571428571429</v>
      </c>
    </row>
    <row r="12" spans="1:4" x14ac:dyDescent="0.25">
      <c r="A12" s="16" t="s">
        <v>27</v>
      </c>
      <c r="B12" s="13">
        <v>21</v>
      </c>
      <c r="C12" s="13">
        <v>18</v>
      </c>
      <c r="D12" s="10">
        <f t="shared" si="0"/>
        <v>0.8571428571428571</v>
      </c>
    </row>
    <row r="13" spans="1:4" x14ac:dyDescent="0.25">
      <c r="A13" s="16" t="s">
        <v>28</v>
      </c>
      <c r="B13" s="13">
        <v>34</v>
      </c>
      <c r="C13" s="13">
        <v>27</v>
      </c>
      <c r="D13" s="10">
        <f t="shared" si="0"/>
        <v>0.79411764705882348</v>
      </c>
    </row>
    <row r="14" spans="1:4" x14ac:dyDescent="0.25">
      <c r="A14" s="16" t="s">
        <v>29</v>
      </c>
      <c r="B14" s="13">
        <v>29</v>
      </c>
      <c r="C14" s="13">
        <v>20</v>
      </c>
      <c r="D14" s="10">
        <f t="shared" si="0"/>
        <v>0.68965517241379315</v>
      </c>
    </row>
    <row r="15" spans="1:4" x14ac:dyDescent="0.25">
      <c r="A15" s="16" t="s">
        <v>30</v>
      </c>
      <c r="B15" s="13">
        <v>39</v>
      </c>
      <c r="C15" s="13">
        <v>29</v>
      </c>
      <c r="D15" s="10">
        <f t="shared" si="0"/>
        <v>0.74358974358974361</v>
      </c>
    </row>
    <row r="16" spans="1:4" x14ac:dyDescent="0.25">
      <c r="A16" s="16" t="s">
        <v>31</v>
      </c>
      <c r="B16" s="13">
        <v>12</v>
      </c>
      <c r="C16" s="13">
        <v>6</v>
      </c>
      <c r="D16" s="10">
        <f t="shared" si="0"/>
        <v>0.5</v>
      </c>
    </row>
    <row r="17" spans="1:4" x14ac:dyDescent="0.25">
      <c r="A17" s="16" t="s">
        <v>32</v>
      </c>
      <c r="B17" s="13">
        <v>4</v>
      </c>
      <c r="C17" s="13">
        <v>3</v>
      </c>
      <c r="D17" s="10">
        <f t="shared" si="0"/>
        <v>0.75</v>
      </c>
    </row>
    <row r="18" spans="1:4" x14ac:dyDescent="0.25">
      <c r="A18" s="16" t="s">
        <v>33</v>
      </c>
      <c r="B18" s="13">
        <v>17</v>
      </c>
      <c r="C18" s="13">
        <v>12</v>
      </c>
      <c r="D18" s="10">
        <f t="shared" si="0"/>
        <v>0.70588235294117652</v>
      </c>
    </row>
    <row r="19" spans="1:4" x14ac:dyDescent="0.25">
      <c r="A19" s="16" t="s">
        <v>34</v>
      </c>
      <c r="B19" s="13">
        <v>5</v>
      </c>
      <c r="C19" s="13">
        <v>4</v>
      </c>
      <c r="D19" s="10">
        <f t="shared" si="0"/>
        <v>0.8</v>
      </c>
    </row>
    <row r="20" spans="1:4" x14ac:dyDescent="0.25">
      <c r="A20" s="16" t="s">
        <v>35</v>
      </c>
      <c r="B20" s="13">
        <v>2</v>
      </c>
      <c r="C20" s="13">
        <v>1</v>
      </c>
      <c r="D20" s="10">
        <f t="shared" si="0"/>
        <v>0.5</v>
      </c>
    </row>
    <row r="21" spans="1:4" x14ac:dyDescent="0.25">
      <c r="A21" s="16" t="s">
        <v>36</v>
      </c>
      <c r="B21" s="13">
        <v>15</v>
      </c>
      <c r="C21" s="13">
        <v>9</v>
      </c>
      <c r="D21" s="10">
        <f t="shared" si="0"/>
        <v>0.6</v>
      </c>
    </row>
    <row r="22" spans="1:4" x14ac:dyDescent="0.25">
      <c r="A22" s="16" t="s">
        <v>37</v>
      </c>
      <c r="B22" s="18">
        <v>16</v>
      </c>
      <c r="C22" s="18">
        <v>13</v>
      </c>
      <c r="D22" s="10">
        <f t="shared" si="0"/>
        <v>0.8125</v>
      </c>
    </row>
    <row r="23" spans="1:4" s="14" customFormat="1" x14ac:dyDescent="0.25">
      <c r="A23" s="19" t="s">
        <v>38</v>
      </c>
      <c r="B23" s="14">
        <f>SUM(B4:B22)</f>
        <v>283</v>
      </c>
      <c r="C23" s="14">
        <f>SUM(C4:C22)</f>
        <v>209</v>
      </c>
      <c r="D23" s="11"/>
    </row>
    <row r="25" spans="1:4" x14ac:dyDescent="0.25">
      <c r="A25" s="16" t="s">
        <v>39</v>
      </c>
      <c r="B25" s="13">
        <v>14</v>
      </c>
    </row>
    <row r="26" spans="1:4" x14ac:dyDescent="0.25">
      <c r="A26" s="16" t="s">
        <v>40</v>
      </c>
      <c r="B26" s="13">
        <v>47</v>
      </c>
      <c r="D26" s="12"/>
    </row>
    <row r="28" spans="1:4" x14ac:dyDescent="0.25">
      <c r="A28" s="20" t="s">
        <v>41</v>
      </c>
      <c r="B28" s="21">
        <f>'[1]SCCA Dues Notices '!K292</f>
        <v>1543.55</v>
      </c>
    </row>
    <row r="29" spans="1:4" x14ac:dyDescent="0.25">
      <c r="A29" s="20" t="s">
        <v>42</v>
      </c>
      <c r="B29" s="22">
        <f>'[1]SCCA Dues Notices '!K293</f>
        <v>10872.82</v>
      </c>
    </row>
    <row r="30" spans="1:4" x14ac:dyDescent="0.25">
      <c r="A30" s="20" t="s">
        <v>43</v>
      </c>
      <c r="B30" s="21">
        <f>SUM(B28:B29)</f>
        <v>12416.369999999999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Financials</vt:lpstr>
      <vt:lpstr>Dues Tally</vt:lpstr>
      <vt:lpstr>'Dues Tally'!Print_Area</vt:lpstr>
      <vt:lpstr>Financials!Print_Area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Hamilton</dc:creator>
  <cp:lastModifiedBy>Hamilton, Amy</cp:lastModifiedBy>
  <cp:lastPrinted>2021-03-12T21:51:52Z</cp:lastPrinted>
  <dcterms:created xsi:type="dcterms:W3CDTF">2018-07-25T00:20:59Z</dcterms:created>
  <dcterms:modified xsi:type="dcterms:W3CDTF">2021-09-21T21:19:54Z</dcterms:modified>
</cp:coreProperties>
</file>