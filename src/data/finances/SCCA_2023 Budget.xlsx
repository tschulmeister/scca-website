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amilton\Desktop\Desktop\SCCA\Monthly Financial Reports\"/>
    </mc:Choice>
  </mc:AlternateContent>
  <xr:revisionPtr revIDLastSave="0" documentId="13_ncr:1_{4E7B135E-B0A8-46F8-B1B8-8AE891D8084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inancials" sheetId="1" r:id="rId1"/>
  </sheets>
  <definedNames>
    <definedName name="_xlnm.Print_Area" localSheetId="0">Financials!$A$1:$E$25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E14" i="1"/>
  <c r="E13" i="1"/>
  <c r="E18" i="1"/>
  <c r="E23" i="1" l="1"/>
</calcChain>
</file>

<file path=xl/sharedStrings.xml><?xml version="1.0" encoding="utf-8"?>
<sst xmlns="http://schemas.openxmlformats.org/spreadsheetml/2006/main" count="20" uniqueCount="20">
  <si>
    <t>SHIPLEY'S CHOICE COMMUNITY ASSOCIATION</t>
  </si>
  <si>
    <t>To: Shipley's Choice Community Assoc. (SCAA), Officers, Directors and Members</t>
  </si>
  <si>
    <t>Aspen Grove</t>
  </si>
  <si>
    <t>Garden Club</t>
  </si>
  <si>
    <t>Real Property taxes</t>
  </si>
  <si>
    <t>BGE</t>
  </si>
  <si>
    <t>Insurance</t>
  </si>
  <si>
    <t xml:space="preserve">Total </t>
  </si>
  <si>
    <t>Association Memberships</t>
  </si>
  <si>
    <t>Website renewal</t>
  </si>
  <si>
    <t>Dues:</t>
  </si>
  <si>
    <t>Expenses:</t>
  </si>
  <si>
    <r>
      <t>Lawn Maintenance (</t>
    </r>
    <r>
      <rPr>
        <sz val="8"/>
        <color theme="1"/>
        <rFont val="Calibri"/>
        <family val="2"/>
        <scheme val="minor"/>
      </rPr>
      <t>12 times</t>
    </r>
    <r>
      <rPr>
        <sz val="11"/>
        <color theme="1"/>
        <rFont val="Calibri"/>
        <family val="2"/>
        <scheme val="minor"/>
      </rPr>
      <t>)</t>
    </r>
  </si>
  <si>
    <t>Assumes 250 of 284 pay @ $75</t>
  </si>
  <si>
    <t>Section 2 Covenant Renewal</t>
  </si>
  <si>
    <t>Access Tree Removal</t>
  </si>
  <si>
    <t>Subject: SCAA Proposed Budget for 2023</t>
  </si>
  <si>
    <t>NOTE:</t>
  </si>
  <si>
    <t>1. 215 people paid in 2022 which is 76%. 68 Families did not pay.</t>
  </si>
  <si>
    <t>From: Jim Guilfoyle, Acting Treasurer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</si>
</sst>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0" fillId="0" borderId="0" xfId="0" applyAlignment="1">
      <alignment horizontal="center"/>
    </xf>
    <xf numFmtId="44" fontId="0" fillId="0" borderId="1" xfId="1" applyFont="1" applyBorder="1"/>
    <xf numFmtId="0" fontId="2" fillId="0" borderId="0" xfId="0" applyFont="1" applyAlignment="1">
      <alignment horizontal="center"/>
    </xf>
    <xf numFmtId="44" fontId="0" fillId="0" borderId="0" xfId="0" applyNumberFormat="1"/>
    <xf numFmtId="0" fontId="4" fillId="0" borderId="0" xfId="0" applyFont="1" applyFill="1"/>
    <xf numFmtId="0" fontId="2" fillId="0" borderId="0" xfId="0" applyFont="1" applyFill="1"/>
  </cellXfs>
  <cellStyles count="4">
    <cellStyle name="Currency" xfId="1" builtinId="4"/>
    <cellStyle name="Normal" xfId="0" builtinId="0"/>
    <cellStyle name="Normal 2" xfId="2" xr:uid="{00000000-0005-0000-0000-000002000000}"/>
    <cellStyle name="Percent 2" xfId="3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tabSelected="1" zoomScale="130" zoomScaleNormal="130" workbookViewId="0">
      <selection activeCell="A6" sqref="A6"/>
    </sheetView>
  </sheetViews>
  <sheetFormatPr defaultRowHeight="15" x14ac:dyDescent="0.25"/>
  <cols>
    <col min="1" max="1" width="38.7109375" customWidth="1"/>
    <col min="3" max="4" width="11.140625" bestFit="1" customWidth="1"/>
    <col min="5" max="5" width="12.28515625" bestFit="1" customWidth="1"/>
    <col min="6" max="6" width="5.140625" customWidth="1"/>
    <col min="7" max="7" width="16" bestFit="1" customWidth="1"/>
    <col min="9" max="9" width="12.28515625" bestFit="1" customWidth="1"/>
    <col min="10" max="10" width="11.140625" bestFit="1" customWidth="1"/>
  </cols>
  <sheetData>
    <row r="1" spans="1:11" s="2" customFormat="1" x14ac:dyDescent="0.25">
      <c r="A1" s="2" t="s">
        <v>0</v>
      </c>
    </row>
    <row r="3" spans="1:11" x14ac:dyDescent="0.25">
      <c r="A3" t="s">
        <v>1</v>
      </c>
    </row>
    <row r="5" spans="1:11" x14ac:dyDescent="0.25">
      <c r="A5" t="s">
        <v>19</v>
      </c>
      <c r="G5" s="1"/>
      <c r="H5" s="1"/>
      <c r="I5" s="1"/>
      <c r="J5" s="1"/>
      <c r="K5" s="1"/>
    </row>
    <row r="6" spans="1:11" x14ac:dyDescent="0.25">
      <c r="A6" t="s">
        <v>16</v>
      </c>
      <c r="G6" s="1"/>
      <c r="H6" s="1"/>
      <c r="I6" s="1"/>
      <c r="J6" s="1"/>
      <c r="K6" s="1"/>
    </row>
    <row r="7" spans="1:11" x14ac:dyDescent="0.25">
      <c r="G7" s="1"/>
      <c r="H7" s="1"/>
      <c r="I7" s="1"/>
      <c r="J7" s="1"/>
      <c r="K7" s="1"/>
    </row>
    <row r="8" spans="1:11" x14ac:dyDescent="0.25">
      <c r="A8" s="9" t="s">
        <v>10</v>
      </c>
      <c r="B8" s="9"/>
      <c r="C8" s="9"/>
      <c r="D8" s="2"/>
      <c r="E8" s="3">
        <f>250*75</f>
        <v>18750</v>
      </c>
      <c r="G8" s="1"/>
      <c r="H8" s="1"/>
      <c r="I8" s="1"/>
      <c r="J8" s="1"/>
      <c r="K8" s="1"/>
    </row>
    <row r="9" spans="1:11" x14ac:dyDescent="0.25">
      <c r="A9" s="8" t="s">
        <v>13</v>
      </c>
      <c r="G9" s="1"/>
      <c r="H9" s="1"/>
      <c r="I9" s="1"/>
      <c r="J9" s="1"/>
      <c r="K9" s="1"/>
    </row>
    <row r="10" spans="1:11" x14ac:dyDescent="0.25">
      <c r="G10" s="1"/>
      <c r="H10" s="1"/>
      <c r="I10" s="1"/>
      <c r="J10" s="1"/>
      <c r="K10" s="1"/>
    </row>
    <row r="11" spans="1:11" x14ac:dyDescent="0.25">
      <c r="G11" s="1"/>
      <c r="H11" s="1"/>
      <c r="I11" s="1"/>
      <c r="J11" s="1"/>
      <c r="K11" s="1"/>
    </row>
    <row r="12" spans="1:11" x14ac:dyDescent="0.25">
      <c r="A12" s="6" t="s">
        <v>11</v>
      </c>
      <c r="E12" s="6"/>
      <c r="F12" s="4"/>
      <c r="H12" s="1"/>
      <c r="I12" s="1"/>
      <c r="J12" s="1"/>
      <c r="K12" s="1"/>
    </row>
    <row r="13" spans="1:11" x14ac:dyDescent="0.25">
      <c r="A13" t="s">
        <v>12</v>
      </c>
      <c r="E13" s="1">
        <f>125*12</f>
        <v>1500</v>
      </c>
      <c r="F13" s="1"/>
      <c r="H13" s="1"/>
      <c r="I13" s="1"/>
      <c r="J13" s="1"/>
      <c r="K13" s="1"/>
    </row>
    <row r="14" spans="1:11" x14ac:dyDescent="0.25">
      <c r="A14" t="s">
        <v>2</v>
      </c>
      <c r="E14" s="1">
        <f>75*2</f>
        <v>150</v>
      </c>
      <c r="F14" s="1"/>
      <c r="H14" s="1"/>
      <c r="I14" s="1"/>
      <c r="J14" s="1"/>
      <c r="K14" s="1"/>
    </row>
    <row r="15" spans="1:11" x14ac:dyDescent="0.25">
      <c r="A15" t="s">
        <v>3</v>
      </c>
      <c r="E15" s="1">
        <v>425</v>
      </c>
      <c r="F15" s="1"/>
      <c r="H15" s="1"/>
      <c r="I15" s="1"/>
      <c r="J15" s="1"/>
      <c r="K15" s="1"/>
    </row>
    <row r="16" spans="1:11" x14ac:dyDescent="0.25">
      <c r="A16" t="s">
        <v>4</v>
      </c>
      <c r="E16" s="1">
        <v>75</v>
      </c>
      <c r="F16" s="1"/>
      <c r="H16" s="1"/>
      <c r="I16" s="1"/>
      <c r="J16" s="1"/>
      <c r="K16" s="1"/>
    </row>
    <row r="17" spans="1:11" x14ac:dyDescent="0.25">
      <c r="A17" t="s">
        <v>15</v>
      </c>
      <c r="E17" s="1">
        <v>12000</v>
      </c>
      <c r="F17" s="1"/>
      <c r="H17" s="1"/>
      <c r="I17" s="1"/>
      <c r="J17" s="1"/>
      <c r="K17" s="1"/>
    </row>
    <row r="18" spans="1:11" x14ac:dyDescent="0.25">
      <c r="A18" t="s">
        <v>5</v>
      </c>
      <c r="E18" s="1">
        <f>25*12</f>
        <v>300</v>
      </c>
      <c r="F18" s="1"/>
      <c r="H18" s="1"/>
      <c r="I18" s="1"/>
      <c r="J18" s="1"/>
      <c r="K18" s="1"/>
    </row>
    <row r="19" spans="1:11" x14ac:dyDescent="0.25">
      <c r="A19" t="s">
        <v>6</v>
      </c>
      <c r="E19" s="1">
        <v>1700</v>
      </c>
      <c r="F19" s="1"/>
      <c r="H19" s="1"/>
      <c r="I19" s="1"/>
      <c r="J19" s="1"/>
      <c r="K19" s="1"/>
    </row>
    <row r="20" spans="1:11" x14ac:dyDescent="0.25">
      <c r="A20" t="s">
        <v>8</v>
      </c>
      <c r="E20" s="1">
        <v>200</v>
      </c>
      <c r="F20" s="1"/>
      <c r="H20" s="1"/>
      <c r="I20" s="1"/>
      <c r="J20" s="1"/>
      <c r="K20" s="1"/>
    </row>
    <row r="21" spans="1:11" x14ac:dyDescent="0.25">
      <c r="A21" t="s">
        <v>14</v>
      </c>
      <c r="E21" s="1">
        <v>2000</v>
      </c>
      <c r="F21" s="1"/>
      <c r="H21" s="1"/>
      <c r="I21" s="1"/>
      <c r="J21" s="1"/>
      <c r="K21" s="1"/>
    </row>
    <row r="22" spans="1:11" x14ac:dyDescent="0.25">
      <c r="A22" t="s">
        <v>9</v>
      </c>
      <c r="E22" s="5">
        <v>200</v>
      </c>
      <c r="H22" s="1"/>
      <c r="I22" s="1"/>
      <c r="J22" s="1"/>
      <c r="K22" s="1"/>
    </row>
    <row r="23" spans="1:11" x14ac:dyDescent="0.25">
      <c r="A23" s="2" t="s">
        <v>7</v>
      </c>
      <c r="E23" s="3">
        <f>SUM(E13:E22)</f>
        <v>18550</v>
      </c>
      <c r="H23" s="1"/>
      <c r="I23" s="1"/>
      <c r="J23" s="1"/>
      <c r="K23" s="1"/>
    </row>
    <row r="24" spans="1:11" x14ac:dyDescent="0.25">
      <c r="E24" s="7"/>
      <c r="H24" s="1"/>
      <c r="I24" s="1"/>
      <c r="J24" s="1"/>
      <c r="K24" s="1"/>
    </row>
    <row r="25" spans="1:11" x14ac:dyDescent="0.25">
      <c r="G25" s="1"/>
      <c r="H25" s="1"/>
      <c r="I25" s="1"/>
      <c r="J25" s="1"/>
      <c r="K25" s="1"/>
    </row>
    <row r="26" spans="1:11" x14ac:dyDescent="0.25">
      <c r="A26" t="s">
        <v>17</v>
      </c>
      <c r="G26" s="1"/>
      <c r="H26" s="1"/>
      <c r="I26" s="1"/>
      <c r="J26" s="1"/>
      <c r="K26" s="1"/>
    </row>
    <row r="27" spans="1:11" x14ac:dyDescent="0.25">
      <c r="A27" t="s">
        <v>18</v>
      </c>
      <c r="G27" s="1"/>
      <c r="H27" s="1"/>
      <c r="I27" s="1"/>
      <c r="J27" s="1"/>
      <c r="K27" s="1"/>
    </row>
    <row r="28" spans="1:11" x14ac:dyDescent="0.25">
      <c r="G28" s="1"/>
      <c r="H28" s="1"/>
      <c r="I28" s="1"/>
      <c r="J28" s="1"/>
      <c r="K2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Financials</vt:lpstr>
      <vt:lpstr>Financials!Print_Area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Hamilton</dc:creator>
  <cp:lastModifiedBy>Hamilton, Amy</cp:lastModifiedBy>
  <cp:lastPrinted>2021-10-21T14:22:51Z</cp:lastPrinted>
  <dcterms:created xsi:type="dcterms:W3CDTF">2018-07-25T00:20:59Z</dcterms:created>
  <dcterms:modified xsi:type="dcterms:W3CDTF">2022-09-07T18:16:12Z</dcterms:modified>
</cp:coreProperties>
</file>