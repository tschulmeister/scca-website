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amilton\Desktop\SCCA\Monthly Financial Reports\"/>
    </mc:Choice>
  </mc:AlternateContent>
  <xr:revisionPtr revIDLastSave="0" documentId="13_ncr:1_{25DE219A-D47F-4BB5-9C4D-C83CDD9C21ED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Financials" sheetId="1" r:id="rId1"/>
    <sheet name="Dues Tally" sheetId="8" r:id="rId2"/>
  </sheets>
  <definedNames>
    <definedName name="_xlnm.Print_Area" localSheetId="1">'Dues Tally'!$A$1:$D$30</definedName>
    <definedName name="_xlnm.Print_Area" localSheetId="0">Financials!$A$1:$G$30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9" i="1" l="1"/>
  <c r="J27" i="1"/>
  <c r="J25" i="1"/>
  <c r="J24" i="1"/>
  <c r="J21" i="1"/>
  <c r="J19" i="1"/>
  <c r="J29" i="1" s="1"/>
  <c r="F27" i="1" l="1"/>
  <c r="F21" i="1" l="1"/>
  <c r="C23" i="8"/>
  <c r="B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F29" i="1" l="1"/>
  <c r="F15" i="1"/>
</calcChain>
</file>

<file path=xl/sharedStrings.xml><?xml version="1.0" encoding="utf-8"?>
<sst xmlns="http://schemas.openxmlformats.org/spreadsheetml/2006/main" count="48" uniqueCount="48">
  <si>
    <t>SHIPLEY'S CHOICE COMMUNITY ASSOCIATION</t>
  </si>
  <si>
    <t>STATEMENT OF FINANCIAL CONDITION</t>
  </si>
  <si>
    <t>To: Shipley's Choice Community Assoc. (SCAA), Officers, Directors and Members</t>
  </si>
  <si>
    <t>From: Amy Hamilton, Treasurer</t>
  </si>
  <si>
    <t>Subject: SCAA Statement of Financial Condition</t>
  </si>
  <si>
    <t>Money Market/CD:</t>
  </si>
  <si>
    <t>Total Funds:</t>
  </si>
  <si>
    <t>Lawn Maintenance</t>
  </si>
  <si>
    <t>Aspen Grove</t>
  </si>
  <si>
    <t>Garden Club</t>
  </si>
  <si>
    <t>Real Property taxes</t>
  </si>
  <si>
    <t>BGE</t>
  </si>
  <si>
    <t>Insurance</t>
  </si>
  <si>
    <t>Legal fees</t>
  </si>
  <si>
    <t xml:space="preserve">Total </t>
  </si>
  <si>
    <t>Association Memberships</t>
  </si>
  <si>
    <t>Tree Removal</t>
  </si>
  <si>
    <t>Street Name</t>
  </si>
  <si>
    <t># of house</t>
  </si>
  <si>
    <t># paid</t>
  </si>
  <si>
    <t>% paid</t>
  </si>
  <si>
    <t>Arbor Oaks Court</t>
  </si>
  <si>
    <t>Boxelder Court</t>
  </si>
  <si>
    <t>Braeburn Glen Court</t>
  </si>
  <si>
    <t>Briarwick Court</t>
  </si>
  <si>
    <t>Broadleaf Court</t>
  </si>
  <si>
    <t>Candlewood Court</t>
  </si>
  <si>
    <t>Galena Court</t>
  </si>
  <si>
    <t>Gambel Oak Court</t>
  </si>
  <si>
    <t>Lazywood Court</t>
  </si>
  <si>
    <t>Live Oak Drive</t>
  </si>
  <si>
    <t>Oak Stump Drive</t>
  </si>
  <si>
    <t>Rustling Oaks Drive</t>
  </si>
  <si>
    <t>Scarlet Oak Drive</t>
  </si>
  <si>
    <t>Severncrest Drive</t>
  </si>
  <si>
    <t>Songwood Court</t>
  </si>
  <si>
    <t>Tanglewood Court</t>
  </si>
  <si>
    <t>West Benfield Road</t>
  </si>
  <si>
    <t>Windfern Court</t>
  </si>
  <si>
    <t>Wood Shadows Court</t>
  </si>
  <si>
    <t>Totals</t>
  </si>
  <si>
    <t>Website renewal</t>
  </si>
  <si>
    <t>AS OF February 20, 2020</t>
  </si>
  <si>
    <t>YTD Expenses as of 2/20/20</t>
  </si>
  <si>
    <t>2019 Actuals</t>
  </si>
  <si>
    <t>2020 Budget</t>
  </si>
  <si>
    <t>Checking as of : 01/31/2020</t>
  </si>
  <si>
    <t>Dues Collected as of 2-2-20 for calendar year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</si>
</sst>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sz val="10"/>
      <name val="MS Sans Serif"/>
    </font>
    <font>
      <b/>
      <sz val="10"/>
      <name val="MS Sans Serif"/>
    </font>
    <font>
      <sz val="11"/>
      <name val="Arial"/>
      <family val="2"/>
    </font>
    <font>
      <b/>
      <sz val="11"/>
      <name val="Arial"/>
      <family val="2"/>
    </font>
    <font>
      <b/>
      <sz val="10"/>
      <color rgb="FFFF0000"/>
      <name val="MS Sans Serif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</cellStyleXfs>
  <cellXfs count="29">
    <xf numFmtId="0" fontId="0" fillId="0" borderId="0" xfId="0"/>
    <xf numFmtId="44" fontId="0" fillId="0" borderId="0" xfId="1" applyFont="1"/>
    <xf numFmtId="0" fontId="2" fillId="0" borderId="0" xfId="0" applyFont="1"/>
    <xf numFmtId="44" fontId="2" fillId="0" borderId="0" xfId="1" applyFont="1"/>
    <xf numFmtId="0" fontId="3" fillId="0" borderId="0" xfId="0" applyFont="1"/>
    <xf numFmtId="44" fontId="3" fillId="0" borderId="0" xfId="1" applyFont="1"/>
    <xf numFmtId="44" fontId="0" fillId="0" borderId="0" xfId="1" applyFont="1" applyFill="1"/>
    <xf numFmtId="0" fontId="0" fillId="0" borderId="0" xfId="0" applyFill="1"/>
    <xf numFmtId="44" fontId="0" fillId="0" borderId="1" xfId="1" applyFont="1" applyFill="1" applyBorder="1"/>
    <xf numFmtId="9" fontId="5" fillId="0" borderId="0" xfId="3" applyFont="1" applyAlignment="1">
      <alignment horizontal="center"/>
    </xf>
    <xf numFmtId="9" fontId="0" fillId="0" borderId="0" xfId="3" applyFont="1"/>
    <xf numFmtId="9" fontId="5" fillId="0" borderId="0" xfId="3" applyFont="1"/>
    <xf numFmtId="0" fontId="4" fillId="0" borderId="0" xfId="4"/>
    <xf numFmtId="0" fontId="5" fillId="0" borderId="0" xfId="4" applyFont="1"/>
    <xf numFmtId="0" fontId="5" fillId="0" borderId="0" xfId="4" applyFont="1" applyAlignment="1">
      <alignment horizontal="center"/>
    </xf>
    <xf numFmtId="0" fontId="6" fillId="0" borderId="0" xfId="4" applyFont="1"/>
    <xf numFmtId="0" fontId="6" fillId="0" borderId="0" xfId="4" applyFont="1" applyFill="1"/>
    <xf numFmtId="0" fontId="4" fillId="0" borderId="1" xfId="4" applyBorder="1"/>
    <xf numFmtId="0" fontId="7" fillId="0" borderId="0" xfId="4" applyFont="1"/>
    <xf numFmtId="0" fontId="4" fillId="0" borderId="0" xfId="4" applyFont="1"/>
    <xf numFmtId="0" fontId="8" fillId="0" borderId="0" xfId="4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4" fontId="2" fillId="0" borderId="0" xfId="1" applyFont="1" applyAlignment="1">
      <alignment horizontal="center"/>
    </xf>
    <xf numFmtId="44" fontId="0" fillId="0" borderId="1" xfId="1" applyFont="1" applyBorder="1"/>
    <xf numFmtId="44" fontId="0" fillId="0" borderId="0" xfId="0" applyNumberFormat="1"/>
    <xf numFmtId="0" fontId="0" fillId="0" borderId="0" xfId="0" applyAlignment="1"/>
    <xf numFmtId="0" fontId="9" fillId="0" borderId="0" xfId="0" applyFont="1"/>
    <xf numFmtId="44" fontId="9" fillId="0" borderId="0" xfId="1" applyFont="1"/>
  </cellXfs>
  <cellStyles count="5">
    <cellStyle name="Currency" xfId="1" builtinId="4"/>
    <cellStyle name="Normal" xfId="0" builtinId="0"/>
    <cellStyle name="Normal 2" xfId="2" xr:uid="{00000000-0005-0000-0000-000002000000}"/>
    <cellStyle name="Normal 2 2" xfId="4" xr:uid="{DE69417F-E060-43FD-9A49-09946DBEE436}"/>
    <cellStyle name="Percent 2" xfId="3" xr:uid="{00000000-0005-0000-0000-000003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7"/>
  <sheetViews>
    <sheetView tabSelected="1" topLeftCell="A19" zoomScale="130" zoomScaleNormal="130" workbookViewId="0">
      <selection activeCell="C11" sqref="C11"/>
    </sheetView>
  </sheetViews>
  <sheetFormatPr defaultRowHeight="14.5" x14ac:dyDescent="0.35"/>
  <cols>
    <col min="4" max="4" width="11.1796875" bestFit="1" customWidth="1"/>
    <col min="5" max="5" width="3.6328125" customWidth="1"/>
    <col min="6" max="6" width="16" bestFit="1" customWidth="1"/>
    <col min="7" max="7" width="2.453125" customWidth="1"/>
    <col min="8" max="8" width="12.26953125" bestFit="1" customWidth="1"/>
    <col min="9" max="9" width="2.1796875" customWidth="1"/>
    <col min="10" max="10" width="15.08984375" customWidth="1"/>
  </cols>
  <sheetData>
    <row r="1" spans="1:10" s="2" customFormat="1" x14ac:dyDescent="0.35">
      <c r="A1" s="2" t="s">
        <v>0</v>
      </c>
    </row>
    <row r="3" spans="1:10" x14ac:dyDescent="0.35">
      <c r="A3" t="s">
        <v>1</v>
      </c>
    </row>
    <row r="4" spans="1:10" x14ac:dyDescent="0.35">
      <c r="A4" t="s">
        <v>42</v>
      </c>
    </row>
    <row r="6" spans="1:10" x14ac:dyDescent="0.35">
      <c r="A6" s="26" t="s">
        <v>2</v>
      </c>
    </row>
    <row r="8" spans="1:10" x14ac:dyDescent="0.35">
      <c r="A8" t="s">
        <v>3</v>
      </c>
      <c r="F8" s="1"/>
      <c r="G8" s="1"/>
      <c r="H8" s="1"/>
      <c r="I8" s="1"/>
      <c r="J8" s="1"/>
    </row>
    <row r="9" spans="1:10" x14ac:dyDescent="0.35">
      <c r="A9" t="s">
        <v>4</v>
      </c>
      <c r="F9" s="1"/>
      <c r="G9" s="1"/>
      <c r="H9" s="1"/>
      <c r="I9" s="1"/>
      <c r="J9" s="1"/>
    </row>
    <row r="10" spans="1:10" x14ac:dyDescent="0.35">
      <c r="F10" s="1"/>
      <c r="G10" s="1"/>
      <c r="H10" s="1"/>
      <c r="I10" s="1"/>
      <c r="J10" s="1"/>
    </row>
    <row r="11" spans="1:10" x14ac:dyDescent="0.35">
      <c r="A11" s="7" t="s">
        <v>46</v>
      </c>
      <c r="B11" s="7"/>
      <c r="C11" s="7"/>
      <c r="F11" s="1">
        <v>12461.17</v>
      </c>
      <c r="G11" s="1"/>
      <c r="H11" s="1"/>
      <c r="I11" s="1"/>
      <c r="J11" s="1"/>
    </row>
    <row r="12" spans="1:10" ht="7" customHeight="1" x14ac:dyDescent="0.35">
      <c r="F12" s="1"/>
      <c r="G12" s="1"/>
      <c r="H12" s="1"/>
      <c r="I12" s="1"/>
      <c r="J12" s="1"/>
    </row>
    <row r="13" spans="1:10" x14ac:dyDescent="0.35">
      <c r="A13" t="s">
        <v>5</v>
      </c>
      <c r="F13" s="1">
        <v>10233.82</v>
      </c>
      <c r="G13" s="1"/>
      <c r="H13" s="1"/>
      <c r="I13" s="1"/>
      <c r="J13" s="1"/>
    </row>
    <row r="14" spans="1:10" ht="9" customHeight="1" x14ac:dyDescent="0.35">
      <c r="F14" s="1"/>
      <c r="G14" s="1"/>
      <c r="H14" s="1"/>
      <c r="I14" s="1"/>
      <c r="J14" s="1"/>
    </row>
    <row r="15" spans="1:10" s="4" customFormat="1" ht="18.5" x14ac:dyDescent="0.45">
      <c r="A15" s="27" t="s">
        <v>6</v>
      </c>
      <c r="B15" s="27"/>
      <c r="C15" s="27"/>
      <c r="D15" s="27"/>
      <c r="E15" s="27"/>
      <c r="F15" s="28">
        <f>F11+F13</f>
        <v>22694.989999999998</v>
      </c>
      <c r="G15" s="5"/>
      <c r="H15" s="5"/>
      <c r="I15" s="5"/>
      <c r="J15" s="5"/>
    </row>
    <row r="16" spans="1:10" x14ac:dyDescent="0.35">
      <c r="F16" s="1"/>
      <c r="G16" s="1"/>
      <c r="H16" s="1"/>
      <c r="I16" s="1"/>
      <c r="J16" s="1"/>
    </row>
    <row r="17" spans="1:10" x14ac:dyDescent="0.35">
      <c r="F17" s="1"/>
      <c r="G17" s="1"/>
      <c r="H17" s="1"/>
      <c r="I17" s="1"/>
      <c r="J17" s="1"/>
    </row>
    <row r="18" spans="1:10" x14ac:dyDescent="0.35">
      <c r="A18" s="2" t="s">
        <v>43</v>
      </c>
      <c r="F18" s="1"/>
      <c r="G18" s="1"/>
      <c r="H18" s="21" t="s">
        <v>45</v>
      </c>
      <c r="I18" s="22"/>
      <c r="J18" s="23" t="s">
        <v>44</v>
      </c>
    </row>
    <row r="19" spans="1:10" x14ac:dyDescent="0.35">
      <c r="A19" t="s">
        <v>7</v>
      </c>
      <c r="F19" s="6">
        <v>500</v>
      </c>
      <c r="G19" s="1"/>
      <c r="H19" s="1">
        <v>3200</v>
      </c>
      <c r="I19" s="1"/>
      <c r="J19" s="6">
        <f>125+125+725+125+225+225+125+125+125+400+150+100+100</f>
        <v>2675</v>
      </c>
    </row>
    <row r="20" spans="1:10" x14ac:dyDescent="0.35">
      <c r="A20" t="s">
        <v>8</v>
      </c>
      <c r="F20" s="6">
        <v>0</v>
      </c>
      <c r="G20" s="1"/>
      <c r="H20" s="1">
        <v>150</v>
      </c>
      <c r="I20" s="1"/>
      <c r="J20" s="6">
        <v>75</v>
      </c>
    </row>
    <row r="21" spans="1:10" x14ac:dyDescent="0.35">
      <c r="A21" t="s">
        <v>9</v>
      </c>
      <c r="F21" s="6">
        <f>253.73+100</f>
        <v>353.73</v>
      </c>
      <c r="G21" s="1"/>
      <c r="H21" s="1">
        <v>425</v>
      </c>
      <c r="I21" s="1"/>
      <c r="J21" s="6">
        <f>123.17+169.31+60.73</f>
        <v>353.21000000000004</v>
      </c>
    </row>
    <row r="22" spans="1:10" x14ac:dyDescent="0.35">
      <c r="A22" t="s">
        <v>10</v>
      </c>
      <c r="F22" s="6">
        <v>0</v>
      </c>
      <c r="G22" s="1"/>
      <c r="H22" s="1">
        <v>75</v>
      </c>
      <c r="I22" s="1"/>
      <c r="J22" s="6">
        <v>62.42</v>
      </c>
    </row>
    <row r="23" spans="1:10" x14ac:dyDescent="0.35">
      <c r="A23" t="s">
        <v>16</v>
      </c>
      <c r="F23" s="6">
        <v>800</v>
      </c>
      <c r="G23" s="1"/>
      <c r="H23" s="1">
        <v>4000</v>
      </c>
      <c r="I23" s="1"/>
      <c r="J23" s="6">
        <v>2100</v>
      </c>
    </row>
    <row r="24" spans="1:10" x14ac:dyDescent="0.35">
      <c r="A24" t="s">
        <v>11</v>
      </c>
      <c r="F24" s="6">
        <v>19.7</v>
      </c>
      <c r="G24" s="1"/>
      <c r="H24" s="1">
        <v>225</v>
      </c>
      <c r="I24" s="1"/>
      <c r="J24" s="6">
        <f>26.48+24.55+16.53+17.16+18.26+17.19+17.61+17.41+17.75</f>
        <v>172.94</v>
      </c>
    </row>
    <row r="25" spans="1:10" x14ac:dyDescent="0.35">
      <c r="A25" t="s">
        <v>12</v>
      </c>
      <c r="F25" s="6">
        <v>0</v>
      </c>
      <c r="G25" s="1"/>
      <c r="H25" s="1">
        <v>1750</v>
      </c>
      <c r="I25" s="1"/>
      <c r="J25" s="6">
        <f>1732</f>
        <v>1732</v>
      </c>
    </row>
    <row r="26" spans="1:10" x14ac:dyDescent="0.35">
      <c r="A26" t="s">
        <v>13</v>
      </c>
      <c r="F26" s="6">
        <v>0</v>
      </c>
      <c r="G26" s="1"/>
      <c r="H26" s="1"/>
      <c r="I26" s="1"/>
      <c r="J26" s="6">
        <v>0</v>
      </c>
    </row>
    <row r="27" spans="1:10" x14ac:dyDescent="0.35">
      <c r="A27" t="s">
        <v>15</v>
      </c>
      <c r="F27" s="6">
        <f>100+35+55</f>
        <v>190</v>
      </c>
      <c r="G27" s="1"/>
      <c r="H27" s="1">
        <v>200</v>
      </c>
      <c r="I27" s="1"/>
      <c r="J27" s="6">
        <f>100+55</f>
        <v>155</v>
      </c>
    </row>
    <row r="28" spans="1:10" x14ac:dyDescent="0.35">
      <c r="A28" t="s">
        <v>41</v>
      </c>
      <c r="F28" s="8">
        <v>0</v>
      </c>
      <c r="G28" s="1"/>
      <c r="H28" s="24">
        <v>200</v>
      </c>
      <c r="I28" s="24"/>
      <c r="J28" s="8">
        <v>119</v>
      </c>
    </row>
    <row r="29" spans="1:10" x14ac:dyDescent="0.35">
      <c r="A29" s="2" t="s">
        <v>14</v>
      </c>
      <c r="F29" s="3">
        <f>SUM(F19:F28)</f>
        <v>1863.43</v>
      </c>
      <c r="G29" s="1"/>
      <c r="H29" s="3">
        <f>SUM(H19:H28)</f>
        <v>10225</v>
      </c>
      <c r="I29" s="3"/>
      <c r="J29" s="3">
        <f>SUM(J19:J28)</f>
        <v>7444.57</v>
      </c>
    </row>
    <row r="30" spans="1:10" x14ac:dyDescent="0.35">
      <c r="F30" s="1"/>
      <c r="G30" s="1"/>
      <c r="H30" s="25"/>
      <c r="J30" s="1"/>
    </row>
    <row r="31" spans="1:10" x14ac:dyDescent="0.35">
      <c r="F31" s="1"/>
      <c r="G31" s="1"/>
      <c r="J31" s="1"/>
    </row>
    <row r="32" spans="1:10" x14ac:dyDescent="0.35">
      <c r="F32" s="1"/>
      <c r="G32" s="1"/>
      <c r="J32" s="1"/>
    </row>
    <row r="33" spans="6:10" x14ac:dyDescent="0.35">
      <c r="F33" s="1"/>
      <c r="G33" s="1"/>
      <c r="J33" s="1"/>
    </row>
    <row r="34" spans="6:10" x14ac:dyDescent="0.35">
      <c r="F34" s="1"/>
      <c r="G34" s="1"/>
      <c r="J34" s="1"/>
    </row>
    <row r="35" spans="6:10" x14ac:dyDescent="0.35">
      <c r="F35" s="1"/>
      <c r="G35" s="1"/>
      <c r="J35" s="1"/>
    </row>
    <row r="36" spans="6:10" x14ac:dyDescent="0.35">
      <c r="F36" s="1"/>
      <c r="G36" s="1"/>
      <c r="J36" s="1"/>
    </row>
    <row r="37" spans="6:10" x14ac:dyDescent="0.35">
      <c r="F37" s="1"/>
      <c r="G37" s="1"/>
      <c r="H37" s="1"/>
      <c r="I37" s="1"/>
      <c r="J37" s="1"/>
    </row>
    <row r="38" spans="6:10" x14ac:dyDescent="0.35">
      <c r="F38" s="1"/>
      <c r="G38" s="1"/>
      <c r="H38" s="1"/>
      <c r="I38" s="1"/>
      <c r="J38" s="1"/>
    </row>
    <row r="39" spans="6:10" x14ac:dyDescent="0.35">
      <c r="F39" s="1"/>
      <c r="G39" s="1"/>
      <c r="H39" s="1"/>
      <c r="I39" s="1"/>
      <c r="J39" s="1"/>
    </row>
    <row r="40" spans="6:10" x14ac:dyDescent="0.35">
      <c r="F40" s="1"/>
      <c r="G40" s="1"/>
      <c r="H40" s="1"/>
      <c r="I40" s="1"/>
      <c r="J40" s="1"/>
    </row>
    <row r="41" spans="6:10" x14ac:dyDescent="0.35">
      <c r="F41" s="1"/>
      <c r="G41" s="1"/>
      <c r="H41" s="1"/>
      <c r="I41" s="1"/>
      <c r="J41" s="1"/>
    </row>
    <row r="42" spans="6:10" x14ac:dyDescent="0.35">
      <c r="F42" s="1"/>
      <c r="G42" s="1"/>
      <c r="H42" s="1"/>
      <c r="I42" s="1"/>
      <c r="J42" s="1"/>
    </row>
    <row r="43" spans="6:10" x14ac:dyDescent="0.35">
      <c r="F43" s="1"/>
      <c r="G43" s="1"/>
      <c r="H43" s="1"/>
      <c r="I43" s="1"/>
      <c r="J43" s="1"/>
    </row>
    <row r="44" spans="6:10" x14ac:dyDescent="0.35">
      <c r="F44" s="1"/>
      <c r="G44" s="1"/>
      <c r="H44" s="1"/>
      <c r="I44" s="1"/>
      <c r="J44" s="1"/>
    </row>
    <row r="45" spans="6:10" x14ac:dyDescent="0.35">
      <c r="F45" s="1"/>
      <c r="G45" s="1"/>
      <c r="H45" s="1"/>
      <c r="I45" s="1"/>
      <c r="J45" s="1"/>
    </row>
    <row r="46" spans="6:10" x14ac:dyDescent="0.35">
      <c r="F46" s="1"/>
      <c r="G46" s="1"/>
      <c r="H46" s="1"/>
      <c r="I46" s="1"/>
      <c r="J46" s="1"/>
    </row>
    <row r="47" spans="6:10" x14ac:dyDescent="0.35">
      <c r="F47" s="1"/>
      <c r="G47" s="1"/>
      <c r="H47" s="1"/>
      <c r="I47" s="1"/>
      <c r="J4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8CA94-D9C3-4F35-A0E2-E98805E2D0E8}">
  <dimension ref="A1:D30"/>
  <sheetViews>
    <sheetView workbookViewId="0">
      <selection activeCell="A25" sqref="A25:D30"/>
    </sheetView>
  </sheetViews>
  <sheetFormatPr defaultColWidth="8.7265625" defaultRowHeight="14.5" x14ac:dyDescent="0.35"/>
  <cols>
    <col min="1" max="1" width="22" style="19" bestFit="1" customWidth="1"/>
    <col min="2" max="2" width="11.453125" style="12" bestFit="1" customWidth="1"/>
    <col min="3" max="3" width="7.453125" style="12" bestFit="1" customWidth="1"/>
    <col min="4" max="4" width="10" style="10" bestFit="1" customWidth="1"/>
    <col min="5" max="16384" width="8.7265625" style="12"/>
  </cols>
  <sheetData>
    <row r="1" spans="1:4" ht="13" x14ac:dyDescent="0.3">
      <c r="A1" s="20" t="s">
        <v>47</v>
      </c>
      <c r="B1" s="20"/>
      <c r="C1" s="20"/>
      <c r="D1" s="20"/>
    </row>
    <row r="2" spans="1:4" ht="13" x14ac:dyDescent="0.3">
      <c r="A2" s="13" t="s">
        <v>17</v>
      </c>
      <c r="B2" s="14" t="s">
        <v>18</v>
      </c>
      <c r="C2" s="14" t="s">
        <v>19</v>
      </c>
      <c r="D2" s="9" t="s">
        <v>20</v>
      </c>
    </row>
    <row r="4" spans="1:4" x14ac:dyDescent="0.35">
      <c r="A4" s="15" t="s">
        <v>21</v>
      </c>
      <c r="B4" s="12">
        <v>11</v>
      </c>
      <c r="C4" s="12">
        <v>8</v>
      </c>
      <c r="D4" s="10">
        <f>C4/B4</f>
        <v>0.72727272727272729</v>
      </c>
    </row>
    <row r="5" spans="1:4" x14ac:dyDescent="0.35">
      <c r="A5" s="15" t="s">
        <v>22</v>
      </c>
      <c r="B5" s="12">
        <v>10</v>
      </c>
      <c r="C5" s="12">
        <v>9</v>
      </c>
      <c r="D5" s="10">
        <f t="shared" ref="D5:D22" si="0">C5/B5</f>
        <v>0.9</v>
      </c>
    </row>
    <row r="6" spans="1:4" x14ac:dyDescent="0.35">
      <c r="A6" s="15" t="s">
        <v>23</v>
      </c>
      <c r="B6" s="12">
        <v>16</v>
      </c>
      <c r="C6" s="12">
        <v>12</v>
      </c>
      <c r="D6" s="10">
        <f t="shared" si="0"/>
        <v>0.75</v>
      </c>
    </row>
    <row r="7" spans="1:4" x14ac:dyDescent="0.35">
      <c r="A7" s="15" t="s">
        <v>24</v>
      </c>
      <c r="B7" s="12">
        <v>10</v>
      </c>
      <c r="C7" s="12">
        <v>8</v>
      </c>
      <c r="D7" s="10">
        <f t="shared" si="0"/>
        <v>0.8</v>
      </c>
    </row>
    <row r="8" spans="1:4" x14ac:dyDescent="0.35">
      <c r="A8" s="15" t="s">
        <v>25</v>
      </c>
      <c r="B8" s="12">
        <v>12</v>
      </c>
      <c r="C8" s="12">
        <v>9</v>
      </c>
      <c r="D8" s="10">
        <f t="shared" si="0"/>
        <v>0.75</v>
      </c>
    </row>
    <row r="9" spans="1:4" x14ac:dyDescent="0.35">
      <c r="A9" s="15" t="s">
        <v>26</v>
      </c>
      <c r="B9" s="12">
        <v>8</v>
      </c>
      <c r="C9" s="12">
        <v>5</v>
      </c>
      <c r="D9" s="10">
        <f t="shared" si="0"/>
        <v>0.625</v>
      </c>
    </row>
    <row r="10" spans="1:4" x14ac:dyDescent="0.35">
      <c r="A10" s="16" t="s">
        <v>27</v>
      </c>
      <c r="B10" s="12">
        <v>8</v>
      </c>
      <c r="C10" s="12">
        <v>7</v>
      </c>
      <c r="D10" s="10">
        <f t="shared" si="0"/>
        <v>0.875</v>
      </c>
    </row>
    <row r="11" spans="1:4" x14ac:dyDescent="0.35">
      <c r="A11" s="15" t="s">
        <v>28</v>
      </c>
      <c r="B11" s="12">
        <v>14</v>
      </c>
      <c r="C11" s="12">
        <v>9</v>
      </c>
      <c r="D11" s="10">
        <f t="shared" si="0"/>
        <v>0.6428571428571429</v>
      </c>
    </row>
    <row r="12" spans="1:4" x14ac:dyDescent="0.35">
      <c r="A12" s="15" t="s">
        <v>29</v>
      </c>
      <c r="B12" s="12">
        <v>21</v>
      </c>
      <c r="C12" s="12">
        <v>18</v>
      </c>
      <c r="D12" s="10">
        <f t="shared" si="0"/>
        <v>0.8571428571428571</v>
      </c>
    </row>
    <row r="13" spans="1:4" x14ac:dyDescent="0.35">
      <c r="A13" s="15" t="s">
        <v>30</v>
      </c>
      <c r="B13" s="12">
        <v>34</v>
      </c>
      <c r="C13" s="12">
        <v>27</v>
      </c>
      <c r="D13" s="10">
        <f t="shared" si="0"/>
        <v>0.79411764705882348</v>
      </c>
    </row>
    <row r="14" spans="1:4" x14ac:dyDescent="0.35">
      <c r="A14" s="15" t="s">
        <v>31</v>
      </c>
      <c r="B14" s="12">
        <v>29</v>
      </c>
      <c r="C14" s="12">
        <v>20</v>
      </c>
      <c r="D14" s="10">
        <f t="shared" si="0"/>
        <v>0.68965517241379315</v>
      </c>
    </row>
    <row r="15" spans="1:4" x14ac:dyDescent="0.35">
      <c r="A15" s="15" t="s">
        <v>32</v>
      </c>
      <c r="B15" s="12">
        <v>39</v>
      </c>
      <c r="C15" s="12">
        <v>29</v>
      </c>
      <c r="D15" s="10">
        <f t="shared" si="0"/>
        <v>0.74358974358974361</v>
      </c>
    </row>
    <row r="16" spans="1:4" x14ac:dyDescent="0.35">
      <c r="A16" s="15" t="s">
        <v>33</v>
      </c>
      <c r="B16" s="12">
        <v>12</v>
      </c>
      <c r="C16" s="12">
        <v>6</v>
      </c>
      <c r="D16" s="10">
        <f t="shared" si="0"/>
        <v>0.5</v>
      </c>
    </row>
    <row r="17" spans="1:4" x14ac:dyDescent="0.35">
      <c r="A17" s="15" t="s">
        <v>34</v>
      </c>
      <c r="B17" s="12">
        <v>4</v>
      </c>
      <c r="C17" s="12">
        <v>3</v>
      </c>
      <c r="D17" s="10">
        <f t="shared" si="0"/>
        <v>0.75</v>
      </c>
    </row>
    <row r="18" spans="1:4" x14ac:dyDescent="0.35">
      <c r="A18" s="15" t="s">
        <v>35</v>
      </c>
      <c r="B18" s="12">
        <v>17</v>
      </c>
      <c r="C18" s="12">
        <v>12</v>
      </c>
      <c r="D18" s="10">
        <f t="shared" si="0"/>
        <v>0.70588235294117652</v>
      </c>
    </row>
    <row r="19" spans="1:4" x14ac:dyDescent="0.35">
      <c r="A19" s="15" t="s">
        <v>36</v>
      </c>
      <c r="B19" s="12">
        <v>5</v>
      </c>
      <c r="C19" s="12">
        <v>4</v>
      </c>
      <c r="D19" s="10">
        <f t="shared" si="0"/>
        <v>0.8</v>
      </c>
    </row>
    <row r="20" spans="1:4" x14ac:dyDescent="0.35">
      <c r="A20" s="15" t="s">
        <v>37</v>
      </c>
      <c r="B20" s="12">
        <v>2</v>
      </c>
      <c r="C20" s="12">
        <v>1</v>
      </c>
      <c r="D20" s="10">
        <f t="shared" si="0"/>
        <v>0.5</v>
      </c>
    </row>
    <row r="21" spans="1:4" x14ac:dyDescent="0.35">
      <c r="A21" s="15" t="s">
        <v>38</v>
      </c>
      <c r="B21" s="12">
        <v>15</v>
      </c>
      <c r="C21" s="12">
        <v>9</v>
      </c>
      <c r="D21" s="10">
        <f t="shared" si="0"/>
        <v>0.6</v>
      </c>
    </row>
    <row r="22" spans="1:4" x14ac:dyDescent="0.35">
      <c r="A22" s="15" t="s">
        <v>39</v>
      </c>
      <c r="B22" s="17">
        <v>16</v>
      </c>
      <c r="C22" s="17">
        <v>13</v>
      </c>
      <c r="D22" s="10">
        <f t="shared" si="0"/>
        <v>0.8125</v>
      </c>
    </row>
    <row r="23" spans="1:4" s="13" customFormat="1" ht="14" x14ac:dyDescent="0.3">
      <c r="A23" s="18" t="s">
        <v>40</v>
      </c>
      <c r="B23" s="13">
        <f>SUM(B4:B22)</f>
        <v>283</v>
      </c>
      <c r="C23" s="13">
        <f>SUM(C4:C22)</f>
        <v>209</v>
      </c>
      <c r="D23" s="11"/>
    </row>
    <row r="25" spans="1:4" x14ac:dyDescent="0.35">
      <c r="A25"/>
      <c r="B25"/>
      <c r="C25"/>
      <c r="D25"/>
    </row>
    <row r="26" spans="1:4" x14ac:dyDescent="0.35">
      <c r="A26"/>
      <c r="B26"/>
      <c r="C26"/>
      <c r="D26"/>
    </row>
    <row r="27" spans="1:4" x14ac:dyDescent="0.35">
      <c r="A27"/>
      <c r="B27"/>
      <c r="C27"/>
      <c r="D27"/>
    </row>
    <row r="28" spans="1:4" x14ac:dyDescent="0.35">
      <c r="A28"/>
      <c r="B28"/>
      <c r="C28"/>
      <c r="D28"/>
    </row>
    <row r="29" spans="1:4" x14ac:dyDescent="0.35">
      <c r="A29"/>
      <c r="B29"/>
      <c r="C29"/>
      <c r="D29"/>
    </row>
    <row r="30" spans="1:4" x14ac:dyDescent="0.35">
      <c r="A30"/>
      <c r="B30"/>
      <c r="C30"/>
      <c r="D30"/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Financials</vt:lpstr>
      <vt:lpstr>Dues Tally</vt:lpstr>
      <vt:lpstr>'Dues Tally'!Print_Area</vt:lpstr>
      <vt:lpstr>Financials!Print_Area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Hamilton</dc:creator>
  <cp:lastModifiedBy>Amy Hamilton</cp:lastModifiedBy>
  <cp:lastPrinted>2020-01-13T13:51:36Z</cp:lastPrinted>
  <dcterms:created xsi:type="dcterms:W3CDTF">2018-07-25T00:20:59Z</dcterms:created>
  <dcterms:modified xsi:type="dcterms:W3CDTF">2020-02-29T15:30:20Z</dcterms:modified>
</cp:coreProperties>
</file>