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cca\Downloads\"/>
    </mc:Choice>
  </mc:AlternateContent>
  <xr:revisionPtr revIDLastSave="0" documentId="13_ncr:1_{200AB273-D3A1-4736-918E-6857371E569F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2026 SoF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 s="1"/>
  <c r="C26" i="1"/>
  <c r="E25" i="1"/>
  <c r="E24" i="1"/>
  <c r="E23" i="1"/>
  <c r="E22" i="1"/>
  <c r="E21" i="1"/>
  <c r="E20" i="1"/>
  <c r="E19" i="1"/>
  <c r="E18" i="1"/>
  <c r="E17" i="1"/>
  <c r="C14" i="1"/>
</calcChain>
</file>

<file path=xl/sharedStrings.xml><?xml version="1.0" encoding="utf-8"?>
<sst xmlns="http://schemas.openxmlformats.org/spreadsheetml/2006/main" count="30" uniqueCount="30">
  <si>
    <t>SHIPLEY'S CHOICE COMMUNITY ASSOCIATION</t>
  </si>
  <si>
    <t>STATEMENT OF FINANCIAL CONDITION</t>
  </si>
  <si>
    <t>as of 06/04/2026</t>
  </si>
  <si>
    <t>To: Shipley's Choice Community Assoc. (SCAA), Officers, Directors and Members</t>
  </si>
  <si>
    <t>From: Rebecca Blaschak, Treasurer</t>
  </si>
  <si>
    <t xml:space="preserve">Subject: Statement of Financial Condition </t>
  </si>
  <si>
    <t>Checking Balance as of 6/4/26</t>
  </si>
  <si>
    <t>Remaning Playground Funds for Section 2</t>
  </si>
  <si>
    <t>Outstanding  Checks</t>
  </si>
  <si>
    <t>Balance after Outstanding Checks + Playground Funds</t>
  </si>
  <si>
    <t>Expenses</t>
  </si>
  <si>
    <t>Actual</t>
  </si>
  <si>
    <t>Budgeted</t>
  </si>
  <si>
    <t>Difference</t>
  </si>
  <si>
    <t>Lawn Maintenance</t>
  </si>
  <si>
    <t>Garden Club</t>
  </si>
  <si>
    <t>Real Property taxes</t>
  </si>
  <si>
    <t>Access Tree Removal</t>
  </si>
  <si>
    <t>BGE</t>
  </si>
  <si>
    <t>Insurance</t>
  </si>
  <si>
    <t>Association Memberships</t>
  </si>
  <si>
    <t>Website renewal</t>
  </si>
  <si>
    <t>Misc (checks, paper statements, SCSTC)</t>
  </si>
  <si>
    <t xml:space="preserve">Total </t>
  </si>
  <si>
    <t>NOTE:</t>
  </si>
  <si>
    <t>1. 215 people paid in 2022 (76%)</t>
  </si>
  <si>
    <t>2. 210 people paid in 2023 (74%)</t>
  </si>
  <si>
    <t>3. 205 people paid in 2024 (72%)</t>
  </si>
  <si>
    <t>4. 196 people paid in 2025 (69%)</t>
  </si>
  <si>
    <t>5. 194 people paid in 2026 (69%)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</si>
</sst>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2222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1" xfId="0" applyFont="1" applyBorder="1" applyAlignment="1"/>
    <xf numFmtId="0" fontId="2" fillId="0" borderId="0" xfId="0" applyFont="1" applyAlignment="1"/>
    <xf numFmtId="44" fontId="2" fillId="0" borderId="0" xfId="0" applyNumberFormat="1" applyFont="1" applyAlignment="1"/>
    <xf numFmtId="44" fontId="2" fillId="0" borderId="2" xfId="0" applyNumberFormat="1" applyFont="1" applyBorder="1" applyAlignment="1"/>
    <xf numFmtId="44" fontId="1" fillId="0" borderId="0" xfId="0" applyNumberFormat="1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/>
    <xf numFmtId="44" fontId="2" fillId="0" borderId="0" xfId="0" applyNumberFormat="1" applyFont="1" applyAlignment="1">
      <alignment horizontal="right"/>
    </xf>
    <xf numFmtId="44" fontId="4" fillId="2" borderId="0" xfId="0" applyNumberFormat="1" applyFont="1" applyFill="1" applyAlignment="1">
      <alignment horizontal="right"/>
    </xf>
    <xf numFmtId="44" fontId="2" fillId="0" borderId="0" xfId="0" applyNumberFormat="1" applyFont="1"/>
    <xf numFmtId="44" fontId="2" fillId="0" borderId="0" xfId="0" applyNumberFormat="1" applyFont="1" applyAlignment="1"/>
    <xf numFmtId="0" fontId="3" fillId="0" borderId="0" xfId="0" applyFont="1" applyAlignment="1"/>
    <xf numFmtId="44" fontId="2" fillId="0" borderId="3" xfId="0" applyNumberFormat="1" applyFont="1" applyBorder="1" applyAlignment="1">
      <alignment horizontal="right"/>
    </xf>
    <xf numFmtId="44" fontId="2" fillId="0" borderId="3" xfId="0" applyNumberFormat="1" applyFont="1" applyBorder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/>
  </sheetViews>
  <sheetFormatPr defaultColWidth="12.5703125" defaultRowHeight="15.75" customHeight="1" x14ac:dyDescent="0.2"/>
  <cols>
    <col min="1" max="1" width="64.28515625" customWidth="1"/>
    <col min="2" max="2" width="2.42578125" customWidth="1"/>
    <col min="3" max="3" width="10.5703125" bestFit="1" customWidth="1"/>
    <col min="4" max="5" width="11.5703125" bestFit="1" customWidth="1"/>
    <col min="6" max="6" width="8" customWidth="1"/>
    <col min="7" max="26" width="7.5703125" customWidth="1"/>
  </cols>
  <sheetData>
    <row r="1" spans="1:26" ht="15.75" customHeight="1" x14ac:dyDescent="0.25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1</v>
      </c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4" t="s">
        <v>6</v>
      </c>
      <c r="B11" s="2"/>
      <c r="C11" s="5">
        <v>8227.91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4" t="s">
        <v>7</v>
      </c>
      <c r="B12" s="2"/>
      <c r="C12" s="5">
        <v>1464.7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 t="s">
        <v>8</v>
      </c>
      <c r="B13" s="2"/>
      <c r="C13" s="6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4" t="s">
        <v>9</v>
      </c>
      <c r="B14" s="2"/>
      <c r="C14" s="7">
        <f>C11-C12-C13</f>
        <v>6763.21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8" t="s">
        <v>10</v>
      </c>
      <c r="B16" s="2"/>
      <c r="C16" s="9" t="s">
        <v>11</v>
      </c>
      <c r="D16" s="10" t="s">
        <v>12</v>
      </c>
      <c r="E16" s="10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1" t="s">
        <v>14</v>
      </c>
      <c r="B17" s="2"/>
      <c r="C17" s="12">
        <v>845</v>
      </c>
      <c r="D17" s="13">
        <v>3500</v>
      </c>
      <c r="E17" s="14">
        <f t="shared" ref="E17:E26" si="0">SUM(D17-C17)</f>
        <v>2655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1" t="s">
        <v>15</v>
      </c>
      <c r="B18" s="2"/>
      <c r="C18" s="15"/>
      <c r="D18" s="13">
        <v>400</v>
      </c>
      <c r="E18" s="14">
        <f t="shared" si="0"/>
        <v>400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1" t="s">
        <v>16</v>
      </c>
      <c r="B19" s="2"/>
      <c r="C19" s="15"/>
      <c r="D19" s="13">
        <v>55</v>
      </c>
      <c r="E19" s="14">
        <f t="shared" si="0"/>
        <v>55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1" t="s">
        <v>17</v>
      </c>
      <c r="B20" s="2"/>
      <c r="C20" s="15"/>
      <c r="D20" s="13">
        <v>8000</v>
      </c>
      <c r="E20" s="14">
        <f t="shared" si="0"/>
        <v>8000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1" t="s">
        <v>18</v>
      </c>
      <c r="B21" s="2"/>
      <c r="C21" s="12">
        <v>153.44</v>
      </c>
      <c r="D21" s="13">
        <v>300</v>
      </c>
      <c r="E21" s="14">
        <f t="shared" si="0"/>
        <v>146.56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1" t="s">
        <v>19</v>
      </c>
      <c r="B22" s="2"/>
      <c r="C22" s="12">
        <v>4279</v>
      </c>
      <c r="D22" s="13">
        <v>3850</v>
      </c>
      <c r="E22" s="14">
        <f t="shared" si="0"/>
        <v>-429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11" t="s">
        <v>20</v>
      </c>
      <c r="B23" s="2"/>
      <c r="C23" s="12">
        <v>100</v>
      </c>
      <c r="D23" s="13">
        <v>200</v>
      </c>
      <c r="E23" s="14">
        <f t="shared" si="0"/>
        <v>100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11" t="s">
        <v>21</v>
      </c>
      <c r="B24" s="2"/>
      <c r="C24" s="15"/>
      <c r="D24" s="13">
        <v>125</v>
      </c>
      <c r="E24" s="14">
        <f t="shared" si="0"/>
        <v>125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16" t="s">
        <v>22</v>
      </c>
      <c r="B25" s="2"/>
      <c r="C25" s="17">
        <v>64.64</v>
      </c>
      <c r="D25" s="18">
        <v>120</v>
      </c>
      <c r="E25" s="18">
        <f t="shared" si="0"/>
        <v>55.36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1" t="s">
        <v>23</v>
      </c>
      <c r="B26" s="2"/>
      <c r="C26" s="7">
        <f t="shared" ref="C26:D26" si="1">SUM(C17:C25)</f>
        <v>5442.0800000000008</v>
      </c>
      <c r="D26" s="14">
        <f t="shared" si="1"/>
        <v>16550</v>
      </c>
      <c r="E26" s="14">
        <f t="shared" si="0"/>
        <v>11107.919999999998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 t="s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 t="s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 t="s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4" t="s">
        <v>27</v>
      </c>
      <c r="B31" s="2"/>
      <c r="C31" s="1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4" t="s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4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SoFC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B</cp:lastModifiedBy>
  <dcterms:modified xsi:type="dcterms:W3CDTF">2026-06-04T23:38:29Z</dcterms:modified>
</cp:coreProperties>
</file>