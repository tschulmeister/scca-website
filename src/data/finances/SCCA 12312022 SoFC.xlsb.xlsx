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CCA\"/>
    </mc:Choice>
  </mc:AlternateContent>
  <xr:revisionPtr revIDLastSave="0" documentId="13_ncr:1_{43C32C78-4069-4CA1-B768-C0514192CEB1}" xr6:coauthVersionLast="47" xr6:coauthVersionMax="47" xr10:uidLastSave="{00000000-0000-0000-0000-000000000000}"/>
  <bookViews>
    <workbookView xWindow="-120" yWindow="-120" windowWidth="23280" windowHeight="15000" xr2:uid="{00000000-000D-0000-FFFF-FFFF00000000}"/>
  </bookViews>
  <sheets>
    <sheet name="Financials" sheetId="1" r:id="rId1"/>
    <sheet name="Sheet1" sheetId="2" state="hidden" r:id="rId2"/>
  </sheets>
  <definedNames>
    <definedName name="_xlnm.Print_Area" localSheetId="0">Financials!$A$1:$E$26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1" l="1"/>
  <c r="B71" i="2"/>
  <c r="G4" i="2"/>
  <c r="G9" i="2"/>
  <c r="G2" i="2"/>
  <c r="G5" i="2"/>
  <c r="G6" i="2"/>
  <c r="B64" i="2"/>
  <c r="E19" i="1"/>
  <c r="E18" i="1"/>
  <c r="E15" i="1"/>
  <c r="G3" i="2" l="1"/>
  <c r="G7" i="2"/>
  <c r="G8" i="2"/>
  <c r="B8" i="2"/>
  <c r="B15" i="2" s="1"/>
  <c r="B23" i="2" s="1"/>
  <c r="B31" i="2" s="1"/>
  <c r="B35" i="2" s="1"/>
  <c r="B40" i="2" s="1"/>
  <c r="B45" i="2" s="1"/>
  <c r="B49" i="2" s="1"/>
  <c r="B53" i="2" s="1"/>
  <c r="B60" i="2" s="1"/>
  <c r="E21" i="1"/>
  <c r="E20" i="1" l="1"/>
  <c r="E23" i="1"/>
  <c r="E24" i="1" l="1"/>
</calcChain>
</file>

<file path=xl/sharedStrings.xml><?xml version="1.0" encoding="utf-8"?>
<sst xmlns="http://schemas.openxmlformats.org/spreadsheetml/2006/main" count="76" uniqueCount="31">
  <si>
    <t>SHIPLEY'S CHOICE COMMUNITY ASSOCIATION</t>
  </si>
  <si>
    <t>To: Shipley's Choice Community Assoc. (SCAA), Officers, Directors and Members</t>
  </si>
  <si>
    <t>Garden Club</t>
  </si>
  <si>
    <t>BGE</t>
  </si>
  <si>
    <t>Insurance</t>
  </si>
  <si>
    <t xml:space="preserve">Total </t>
  </si>
  <si>
    <t>Association Memberships</t>
  </si>
  <si>
    <t>Website renewal</t>
  </si>
  <si>
    <t>Access Tree Removal</t>
  </si>
  <si>
    <t>NOTE:</t>
  </si>
  <si>
    <t>STATEMENT OF FINANCIAL CONDITION</t>
  </si>
  <si>
    <t xml:space="preserve">Lawn Maintenance </t>
  </si>
  <si>
    <t>SCS+TC</t>
  </si>
  <si>
    <t>From: Rebecca Blaschak, Treasurer</t>
  </si>
  <si>
    <t>Association</t>
  </si>
  <si>
    <t>SCGC</t>
  </si>
  <si>
    <t>James</t>
  </si>
  <si>
    <t>trees</t>
  </si>
  <si>
    <t>IRS</t>
  </si>
  <si>
    <t>Taxes</t>
  </si>
  <si>
    <t>Trees</t>
  </si>
  <si>
    <t>Outstanding checks</t>
  </si>
  <si>
    <t>SCSTC</t>
  </si>
  <si>
    <t>Jonathan Swain</t>
  </si>
  <si>
    <t>gc</t>
  </si>
  <si>
    <t>Subject: Statement of Financial Condition Year End 2022</t>
  </si>
  <si>
    <t>AS OF 12/31/2022</t>
  </si>
  <si>
    <t>Checking as of 12/31/2022</t>
  </si>
  <si>
    <t>YTD Expenses as of 12/31/2022:</t>
  </si>
  <si>
    <t>2. 191 people have paid so far for 2023 (67%)</t>
  </si>
  <si>
    <t>1. 215 people paid in 2022 (76%)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</si>
</sst>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0" fillId="0" borderId="0" xfId="0" applyAlignment="1">
      <alignment horizontal="center"/>
    </xf>
    <xf numFmtId="44" fontId="0" fillId="0" borderId="1" xfId="1" applyFont="1" applyBorder="1"/>
    <xf numFmtId="0" fontId="2" fillId="0" borderId="0" xfId="0" applyFont="1" applyAlignment="1">
      <alignment horizontal="center"/>
    </xf>
    <xf numFmtId="44" fontId="0" fillId="0" borderId="0" xfId="0" applyNumberFormat="1"/>
    <xf numFmtId="0" fontId="2" fillId="0" borderId="0" xfId="0" applyFont="1" applyFill="1"/>
    <xf numFmtId="14" fontId="0" fillId="0" borderId="0" xfId="0" applyNumberFormat="1"/>
    <xf numFmtId="0" fontId="0" fillId="0" borderId="0" xfId="0" applyBorder="1"/>
  </cellXfs>
  <cellStyles count="4">
    <cellStyle name="Currency" xfId="1" builtinId="4"/>
    <cellStyle name="Normal" xfId="0" builtinId="0"/>
    <cellStyle name="Normal 2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="130" zoomScaleNormal="130" workbookViewId="0">
      <selection activeCell="E11" sqref="E11"/>
    </sheetView>
  </sheetViews>
  <sheetFormatPr defaultRowHeight="15" x14ac:dyDescent="0.25"/>
  <cols>
    <col min="1" max="1" width="38.7109375" customWidth="1"/>
    <col min="3" max="4" width="11.140625" bestFit="1" customWidth="1"/>
    <col min="5" max="5" width="12.28515625" bestFit="1" customWidth="1"/>
    <col min="6" max="6" width="5.140625" customWidth="1"/>
    <col min="7" max="7" width="16" bestFit="1" customWidth="1"/>
    <col min="8" max="8" width="24.42578125" bestFit="1" customWidth="1"/>
    <col min="9" max="9" width="12.28515625" bestFit="1" customWidth="1"/>
    <col min="10" max="10" width="11.140625" bestFit="1" customWidth="1"/>
    <col min="11" max="11" width="10.140625" bestFit="1" customWidth="1"/>
  </cols>
  <sheetData>
    <row r="1" spans="1:11" s="2" customFormat="1" x14ac:dyDescent="0.25">
      <c r="A1" s="2" t="s">
        <v>0</v>
      </c>
    </row>
    <row r="2" spans="1:11" s="2" customFormat="1" x14ac:dyDescent="0.25"/>
    <row r="3" spans="1:11" s="2" customFormat="1" x14ac:dyDescent="0.25">
      <c r="A3" t="s">
        <v>10</v>
      </c>
    </row>
    <row r="4" spans="1:11" x14ac:dyDescent="0.25">
      <c r="A4" t="s">
        <v>26</v>
      </c>
    </row>
    <row r="6" spans="1:11" x14ac:dyDescent="0.25">
      <c r="A6" t="s">
        <v>1</v>
      </c>
    </row>
    <row r="8" spans="1:11" x14ac:dyDescent="0.25">
      <c r="A8" t="s">
        <v>13</v>
      </c>
      <c r="G8" s="1"/>
      <c r="H8" s="1"/>
      <c r="I8" s="1"/>
      <c r="J8" s="1"/>
      <c r="K8" s="1"/>
    </row>
    <row r="9" spans="1:11" x14ac:dyDescent="0.25">
      <c r="A9" t="s">
        <v>25</v>
      </c>
      <c r="G9" s="1"/>
      <c r="H9" s="1"/>
      <c r="I9" s="1"/>
      <c r="J9" s="1"/>
      <c r="K9" s="1"/>
    </row>
    <row r="10" spans="1:11" x14ac:dyDescent="0.25">
      <c r="G10" s="1"/>
      <c r="H10" s="1"/>
      <c r="I10" s="1"/>
      <c r="J10" s="1"/>
      <c r="K10" s="1"/>
    </row>
    <row r="11" spans="1:11" x14ac:dyDescent="0.25">
      <c r="A11" s="2" t="s">
        <v>27</v>
      </c>
      <c r="E11" s="3">
        <v>14072.07</v>
      </c>
      <c r="G11" s="1"/>
      <c r="H11" s="1"/>
      <c r="I11" s="1"/>
      <c r="J11" s="1"/>
      <c r="K11" s="1"/>
    </row>
    <row r="12" spans="1:11" x14ac:dyDescent="0.25">
      <c r="A12" s="8"/>
      <c r="B12" s="8"/>
      <c r="C12" s="8"/>
      <c r="D12" s="2"/>
      <c r="E12" s="3"/>
      <c r="G12" s="1"/>
      <c r="H12" s="1"/>
      <c r="I12" s="1"/>
      <c r="J12" s="1"/>
      <c r="K12" s="1"/>
    </row>
    <row r="13" spans="1:11" x14ac:dyDescent="0.25">
      <c r="G13" s="1"/>
      <c r="H13" s="1"/>
      <c r="I13" s="1"/>
      <c r="J13" s="1"/>
      <c r="K13" s="1"/>
    </row>
    <row r="14" spans="1:11" x14ac:dyDescent="0.25">
      <c r="A14" s="6" t="s">
        <v>28</v>
      </c>
      <c r="E14" s="6"/>
      <c r="F14" s="4"/>
      <c r="H14" s="1"/>
      <c r="I14" s="1"/>
      <c r="J14" s="1"/>
      <c r="K14" s="1"/>
    </row>
    <row r="15" spans="1:11" x14ac:dyDescent="0.25">
      <c r="A15" t="s">
        <v>11</v>
      </c>
      <c r="E15" s="1">
        <f>400+300+300+150+275+1200+125+225+250+125+125+125+175+200+150+150+225+600+100</f>
        <v>5200</v>
      </c>
      <c r="F15" s="1"/>
      <c r="H15" s="1"/>
      <c r="I15" s="1"/>
      <c r="J15" s="1"/>
      <c r="K15" s="1"/>
    </row>
    <row r="16" spans="1:11" x14ac:dyDescent="0.25">
      <c r="A16" t="s">
        <v>2</v>
      </c>
      <c r="E16" s="1">
        <f>279.75+84.8+220.48</f>
        <v>585.03</v>
      </c>
      <c r="F16" s="1"/>
      <c r="H16" s="1"/>
      <c r="I16" s="1"/>
      <c r="J16" s="1"/>
      <c r="K16" s="1"/>
    </row>
    <row r="17" spans="1:11" x14ac:dyDescent="0.25">
      <c r="A17" t="s">
        <v>19</v>
      </c>
      <c r="E17" s="1">
        <v>66.239999999999995</v>
      </c>
      <c r="F17" s="1"/>
      <c r="H17" s="1"/>
      <c r="I17" s="1"/>
      <c r="J17" s="1"/>
      <c r="K17" s="1"/>
    </row>
    <row r="18" spans="1:11" x14ac:dyDescent="0.25">
      <c r="A18" t="s">
        <v>8</v>
      </c>
      <c r="E18" s="1">
        <f>2200+3200+5400+3800</f>
        <v>14600</v>
      </c>
      <c r="F18" s="1"/>
      <c r="H18" s="1"/>
      <c r="I18" s="1"/>
      <c r="J18" s="1"/>
      <c r="K18" s="1"/>
    </row>
    <row r="19" spans="1:11" x14ac:dyDescent="0.25">
      <c r="A19" t="s">
        <v>3</v>
      </c>
      <c r="E19" s="1">
        <f>21.07+19.44+18.16+18.8+18.54+18.72+18.06+18.13+19.05+19+20.17+21.79</f>
        <v>230.92999999999998</v>
      </c>
      <c r="F19" s="1"/>
      <c r="G19" s="10"/>
      <c r="H19" s="1"/>
      <c r="I19" s="1"/>
      <c r="J19" s="1"/>
      <c r="K19" s="1"/>
    </row>
    <row r="20" spans="1:11" x14ac:dyDescent="0.25">
      <c r="A20" t="s">
        <v>4</v>
      </c>
      <c r="E20" s="1">
        <f>1703</f>
        <v>1703</v>
      </c>
      <c r="F20" s="1"/>
      <c r="H20" s="1"/>
      <c r="I20" s="1"/>
      <c r="J20" s="1"/>
      <c r="K20" s="1"/>
    </row>
    <row r="21" spans="1:11" x14ac:dyDescent="0.25">
      <c r="A21" t="s">
        <v>6</v>
      </c>
      <c r="E21" s="1">
        <f>35+50+55</f>
        <v>140</v>
      </c>
      <c r="F21" s="1"/>
      <c r="H21" s="1"/>
      <c r="I21" s="1"/>
    </row>
    <row r="22" spans="1:11" x14ac:dyDescent="0.25">
      <c r="A22" t="s">
        <v>12</v>
      </c>
      <c r="E22" s="1">
        <v>50</v>
      </c>
      <c r="F22" s="1"/>
      <c r="G22" s="7"/>
      <c r="I22" s="1"/>
      <c r="J22" s="1"/>
      <c r="K22" s="1"/>
    </row>
    <row r="23" spans="1:11" x14ac:dyDescent="0.25">
      <c r="A23" t="s">
        <v>7</v>
      </c>
      <c r="E23" s="5">
        <f>74.8</f>
        <v>74.8</v>
      </c>
      <c r="H23" s="1"/>
      <c r="I23" s="1"/>
      <c r="J23" s="1"/>
      <c r="K23" s="1"/>
    </row>
    <row r="24" spans="1:11" x14ac:dyDescent="0.25">
      <c r="A24" s="2" t="s">
        <v>5</v>
      </c>
      <c r="E24" s="3">
        <f>SUM(E15:E23)</f>
        <v>22650</v>
      </c>
      <c r="G24" s="1"/>
      <c r="H24" s="1"/>
      <c r="I24" s="1"/>
      <c r="J24" s="1"/>
      <c r="K24" s="1"/>
    </row>
    <row r="25" spans="1:11" x14ac:dyDescent="0.25">
      <c r="E25" s="7"/>
      <c r="H25" s="1"/>
      <c r="I25" s="1"/>
      <c r="J25" s="1"/>
      <c r="K25" s="1"/>
    </row>
    <row r="26" spans="1:11" x14ac:dyDescent="0.25">
      <c r="G26" s="1"/>
      <c r="H26" s="1"/>
      <c r="I26" s="1"/>
      <c r="J26" s="1"/>
      <c r="K26" s="1"/>
    </row>
    <row r="27" spans="1:11" x14ac:dyDescent="0.25">
      <c r="A27" t="s">
        <v>9</v>
      </c>
      <c r="G27" s="1"/>
      <c r="H27" s="1"/>
      <c r="I27" s="1"/>
      <c r="J27" s="1"/>
      <c r="K27" s="1"/>
    </row>
    <row r="28" spans="1:11" x14ac:dyDescent="0.25">
      <c r="A28" t="s">
        <v>30</v>
      </c>
      <c r="G28" s="1"/>
      <c r="H28" s="1"/>
      <c r="I28" s="1"/>
      <c r="J28" s="1"/>
      <c r="K28" s="1"/>
    </row>
    <row r="29" spans="1:11" x14ac:dyDescent="0.25">
      <c r="A29" t="s">
        <v>29</v>
      </c>
      <c r="G29" s="1"/>
      <c r="H29" s="1"/>
      <c r="I29" s="1"/>
      <c r="J29" s="1"/>
      <c r="K29" s="1"/>
    </row>
  </sheetData>
  <sheetProtection algorithmName="SHA-512" hashValue="d9Jf1UasdTPuvoKqFOCSEUm8yvCoraXhKVGDVxtG+q0Kis+zEakOttvsrxUd8tZ6MZD/u0Sws1OO5YPlWpuyeQ==" saltValue="0oRIMG89jEZv7a7lrtPIY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6750-29EA-4638-8747-CC418D0A7DFF}">
  <dimension ref="A1:I71"/>
  <sheetViews>
    <sheetView workbookViewId="0">
      <selection activeCell="F14" sqref="F14"/>
    </sheetView>
  </sheetViews>
  <sheetFormatPr defaultRowHeight="15" x14ac:dyDescent="0.25"/>
  <cols>
    <col min="3" max="3" width="10.7109375" bestFit="1" customWidth="1"/>
    <col min="9" max="9" width="11.5703125" bestFit="1" customWidth="1"/>
  </cols>
  <sheetData>
    <row r="1" spans="1:9" x14ac:dyDescent="0.25">
      <c r="B1">
        <v>17792.27</v>
      </c>
      <c r="C1" s="9">
        <v>44561</v>
      </c>
    </row>
    <row r="2" spans="1:9" x14ac:dyDescent="0.25">
      <c r="A2" t="s">
        <v>16</v>
      </c>
      <c r="B2">
        <v>-400</v>
      </c>
      <c r="F2" t="s">
        <v>16</v>
      </c>
      <c r="G2">
        <f>SUM(B2,B11,B18,B19,B21,B27,B28,B32,B33,B42,B43,B47,B51,B25,B36:B38,B63,B66)</f>
        <v>-5200</v>
      </c>
      <c r="I2" s="7"/>
    </row>
    <row r="3" spans="1:9" x14ac:dyDescent="0.25">
      <c r="A3" t="s">
        <v>14</v>
      </c>
      <c r="B3">
        <v>-55</v>
      </c>
      <c r="F3" t="s">
        <v>14</v>
      </c>
      <c r="G3">
        <f>B3+B13+B10</f>
        <v>-140</v>
      </c>
    </row>
    <row r="4" spans="1:9" x14ac:dyDescent="0.25">
      <c r="A4" t="s">
        <v>15</v>
      </c>
      <c r="B4">
        <v>-279.75</v>
      </c>
      <c r="F4" t="s">
        <v>15</v>
      </c>
      <c r="G4">
        <f>B4+B50+B65</f>
        <v>-585.03</v>
      </c>
    </row>
    <row r="5" spans="1:9" x14ac:dyDescent="0.25">
      <c r="B5">
        <v>650</v>
      </c>
      <c r="F5" t="s">
        <v>3</v>
      </c>
      <c r="G5">
        <f>SUM(B7,B14,B22,B29,B34,B39,B44,B48,B52,B54,B62,B69)</f>
        <v>-230.92999999999998</v>
      </c>
    </row>
    <row r="6" spans="1:9" x14ac:dyDescent="0.25">
      <c r="B6">
        <v>225</v>
      </c>
      <c r="F6" t="s">
        <v>20</v>
      </c>
      <c r="G6">
        <f>SUM(B12,B20,B41,B68)</f>
        <v>-14600</v>
      </c>
    </row>
    <row r="7" spans="1:9" x14ac:dyDescent="0.25">
      <c r="A7" t="s">
        <v>3</v>
      </c>
      <c r="B7">
        <v>-21.07</v>
      </c>
      <c r="F7" t="s">
        <v>19</v>
      </c>
      <c r="G7">
        <f>B30+B46</f>
        <v>-66.240000000000009</v>
      </c>
    </row>
    <row r="8" spans="1:9" x14ac:dyDescent="0.25">
      <c r="B8">
        <f>SUM(B1:B7)</f>
        <v>17911.45</v>
      </c>
      <c r="C8" s="9">
        <v>44592</v>
      </c>
      <c r="F8" t="s">
        <v>4</v>
      </c>
      <c r="G8">
        <f>B26</f>
        <v>-1703</v>
      </c>
    </row>
    <row r="9" spans="1:9" x14ac:dyDescent="0.25">
      <c r="B9">
        <v>1075</v>
      </c>
      <c r="F9" t="s">
        <v>22</v>
      </c>
      <c r="G9">
        <f>B59</f>
        <v>-50</v>
      </c>
    </row>
    <row r="10" spans="1:9" x14ac:dyDescent="0.25">
      <c r="A10" t="s">
        <v>14</v>
      </c>
      <c r="B10">
        <v>-35</v>
      </c>
    </row>
    <row r="11" spans="1:9" x14ac:dyDescent="0.25">
      <c r="A11" t="s">
        <v>16</v>
      </c>
      <c r="B11">
        <v>-300</v>
      </c>
      <c r="F11" t="s">
        <v>21</v>
      </c>
    </row>
    <row r="12" spans="1:9" x14ac:dyDescent="0.25">
      <c r="A12" t="s">
        <v>17</v>
      </c>
      <c r="B12">
        <v>-2200</v>
      </c>
    </row>
    <row r="13" spans="1:9" x14ac:dyDescent="0.25">
      <c r="A13" t="s">
        <v>14</v>
      </c>
      <c r="B13">
        <v>-50</v>
      </c>
      <c r="G13" t="s">
        <v>23</v>
      </c>
      <c r="H13">
        <v>-74.8</v>
      </c>
    </row>
    <row r="14" spans="1:9" x14ac:dyDescent="0.25">
      <c r="A14" t="s">
        <v>3</v>
      </c>
      <c r="B14">
        <v>-19.440000000000001</v>
      </c>
    </row>
    <row r="15" spans="1:9" x14ac:dyDescent="0.25">
      <c r="B15">
        <f>SUM(B8:B14)</f>
        <v>16382.01</v>
      </c>
      <c r="C15" s="9">
        <v>44620</v>
      </c>
    </row>
    <row r="16" spans="1:9" x14ac:dyDescent="0.25">
      <c r="B16">
        <v>75</v>
      </c>
    </row>
    <row r="17" spans="1:3" x14ac:dyDescent="0.25">
      <c r="B17">
        <v>175</v>
      </c>
    </row>
    <row r="18" spans="1:3" x14ac:dyDescent="0.25">
      <c r="A18" t="s">
        <v>16</v>
      </c>
      <c r="B18">
        <v>-300</v>
      </c>
    </row>
    <row r="19" spans="1:3" x14ac:dyDescent="0.25">
      <c r="A19" t="s">
        <v>16</v>
      </c>
      <c r="B19">
        <v>-150</v>
      </c>
    </row>
    <row r="20" spans="1:3" x14ac:dyDescent="0.25">
      <c r="A20" t="s">
        <v>17</v>
      </c>
      <c r="B20">
        <v>-3200</v>
      </c>
    </row>
    <row r="21" spans="1:3" x14ac:dyDescent="0.25">
      <c r="A21" t="s">
        <v>16</v>
      </c>
      <c r="B21">
        <v>-275</v>
      </c>
    </row>
    <row r="22" spans="1:3" x14ac:dyDescent="0.25">
      <c r="A22" t="s">
        <v>3</v>
      </c>
      <c r="B22">
        <v>-18.16</v>
      </c>
    </row>
    <row r="23" spans="1:3" x14ac:dyDescent="0.25">
      <c r="B23">
        <f>SUM(B15:B22)</f>
        <v>12688.850000000002</v>
      </c>
      <c r="C23" s="9">
        <v>44651</v>
      </c>
    </row>
    <row r="24" spans="1:3" x14ac:dyDescent="0.25">
      <c r="B24">
        <v>75</v>
      </c>
    </row>
    <row r="25" spans="1:3" x14ac:dyDescent="0.25">
      <c r="A25" t="s">
        <v>16</v>
      </c>
      <c r="B25">
        <v>-1200</v>
      </c>
    </row>
    <row r="26" spans="1:3" x14ac:dyDescent="0.25">
      <c r="A26" t="s">
        <v>4</v>
      </c>
      <c r="B26">
        <v>-1703</v>
      </c>
    </row>
    <row r="27" spans="1:3" x14ac:dyDescent="0.25">
      <c r="A27" t="s">
        <v>16</v>
      </c>
      <c r="B27">
        <v>-125</v>
      </c>
    </row>
    <row r="28" spans="1:3" x14ac:dyDescent="0.25">
      <c r="A28" t="s">
        <v>16</v>
      </c>
      <c r="B28">
        <v>-225</v>
      </c>
    </row>
    <row r="29" spans="1:3" x14ac:dyDescent="0.25">
      <c r="A29" t="s">
        <v>3</v>
      </c>
      <c r="B29">
        <v>-18.8</v>
      </c>
    </row>
    <row r="30" spans="1:3" x14ac:dyDescent="0.25">
      <c r="A30" t="s">
        <v>18</v>
      </c>
      <c r="B30">
        <v>-16</v>
      </c>
    </row>
    <row r="31" spans="1:3" x14ac:dyDescent="0.25">
      <c r="B31">
        <f>SUM(B23:B30)</f>
        <v>9476.0500000000029</v>
      </c>
      <c r="C31" s="9">
        <v>44681</v>
      </c>
    </row>
    <row r="32" spans="1:3" x14ac:dyDescent="0.25">
      <c r="A32" t="s">
        <v>16</v>
      </c>
      <c r="B32">
        <v>-250</v>
      </c>
    </row>
    <row r="33" spans="1:3" x14ac:dyDescent="0.25">
      <c r="A33" t="s">
        <v>16</v>
      </c>
      <c r="B33">
        <v>-125</v>
      </c>
    </row>
    <row r="34" spans="1:3" x14ac:dyDescent="0.25">
      <c r="A34" t="s">
        <v>3</v>
      </c>
      <c r="B34">
        <v>-18.54</v>
      </c>
    </row>
    <row r="35" spans="1:3" x14ac:dyDescent="0.25">
      <c r="B35">
        <f>SUM(B31:B34)</f>
        <v>9082.510000000002</v>
      </c>
      <c r="C35" s="9">
        <v>44712</v>
      </c>
    </row>
    <row r="36" spans="1:3" x14ac:dyDescent="0.25">
      <c r="A36" t="s">
        <v>16</v>
      </c>
      <c r="B36">
        <v>-125</v>
      </c>
    </row>
    <row r="37" spans="1:3" x14ac:dyDescent="0.25">
      <c r="A37" t="s">
        <v>16</v>
      </c>
      <c r="B37">
        <v>-125</v>
      </c>
    </row>
    <row r="38" spans="1:3" x14ac:dyDescent="0.25">
      <c r="A38" t="s">
        <v>16</v>
      </c>
      <c r="B38">
        <v>-175</v>
      </c>
    </row>
    <row r="39" spans="1:3" x14ac:dyDescent="0.25">
      <c r="A39" t="s">
        <v>3</v>
      </c>
      <c r="B39">
        <v>-18.72</v>
      </c>
    </row>
    <row r="40" spans="1:3" x14ac:dyDescent="0.25">
      <c r="B40">
        <f>SUM(B35:B39)</f>
        <v>8638.7900000000027</v>
      </c>
      <c r="C40" s="9">
        <v>44742</v>
      </c>
    </row>
    <row r="41" spans="1:3" x14ac:dyDescent="0.25">
      <c r="A41" t="s">
        <v>17</v>
      </c>
      <c r="B41">
        <v>-5400</v>
      </c>
    </row>
    <row r="42" spans="1:3" x14ac:dyDescent="0.25">
      <c r="A42" t="s">
        <v>16</v>
      </c>
      <c r="B42">
        <v>-200</v>
      </c>
    </row>
    <row r="43" spans="1:3" x14ac:dyDescent="0.25">
      <c r="A43" t="s">
        <v>16</v>
      </c>
      <c r="B43">
        <v>-150</v>
      </c>
    </row>
    <row r="44" spans="1:3" x14ac:dyDescent="0.25">
      <c r="A44" t="s">
        <v>3</v>
      </c>
      <c r="B44">
        <v>-18.059999999999999</v>
      </c>
    </row>
    <row r="45" spans="1:3" x14ac:dyDescent="0.25">
      <c r="B45">
        <f>SUM(B40:B44)</f>
        <v>2870.7300000000027</v>
      </c>
      <c r="C45" s="9">
        <v>44773</v>
      </c>
    </row>
    <row r="46" spans="1:3" x14ac:dyDescent="0.25">
      <c r="A46" t="s">
        <v>19</v>
      </c>
      <c r="B46">
        <v>-50.24</v>
      </c>
    </row>
    <row r="47" spans="1:3" x14ac:dyDescent="0.25">
      <c r="A47" t="s">
        <v>16</v>
      </c>
      <c r="B47">
        <v>-150</v>
      </c>
    </row>
    <row r="48" spans="1:3" x14ac:dyDescent="0.25">
      <c r="A48" t="s">
        <v>3</v>
      </c>
      <c r="B48">
        <v>-18.13</v>
      </c>
    </row>
    <row r="49" spans="1:3" x14ac:dyDescent="0.25">
      <c r="B49">
        <f>SUM(B45:B48)</f>
        <v>2652.3600000000029</v>
      </c>
      <c r="C49" s="9">
        <v>44804</v>
      </c>
    </row>
    <row r="50" spans="1:3" x14ac:dyDescent="0.25">
      <c r="A50" t="s">
        <v>15</v>
      </c>
      <c r="B50">
        <v>-84.8</v>
      </c>
    </row>
    <row r="51" spans="1:3" x14ac:dyDescent="0.25">
      <c r="A51" t="s">
        <v>16</v>
      </c>
      <c r="B51">
        <v>-225</v>
      </c>
    </row>
    <row r="52" spans="1:3" x14ac:dyDescent="0.25">
      <c r="A52" t="s">
        <v>3</v>
      </c>
      <c r="B52">
        <v>-19.05</v>
      </c>
    </row>
    <row r="53" spans="1:3" x14ac:dyDescent="0.25">
      <c r="B53">
        <f>SUM(B49:B52)</f>
        <v>2323.5100000000025</v>
      </c>
      <c r="C53" s="9">
        <v>44834</v>
      </c>
    </row>
    <row r="54" spans="1:3" x14ac:dyDescent="0.25">
      <c r="A54" t="s">
        <v>3</v>
      </c>
      <c r="B54">
        <v>-19</v>
      </c>
    </row>
    <row r="55" spans="1:3" x14ac:dyDescent="0.25">
      <c r="B55">
        <v>2980</v>
      </c>
    </row>
    <row r="56" spans="1:3" x14ac:dyDescent="0.25">
      <c r="B56">
        <v>3020</v>
      </c>
    </row>
    <row r="57" spans="1:3" x14ac:dyDescent="0.25">
      <c r="B57">
        <v>2945</v>
      </c>
    </row>
    <row r="58" spans="1:3" x14ac:dyDescent="0.25">
      <c r="B58">
        <v>3235</v>
      </c>
    </row>
    <row r="59" spans="1:3" x14ac:dyDescent="0.25">
      <c r="A59" t="s">
        <v>22</v>
      </c>
      <c r="B59">
        <v>-50</v>
      </c>
    </row>
    <row r="60" spans="1:3" x14ac:dyDescent="0.25">
      <c r="B60">
        <f>SUM(B53:B59)</f>
        <v>14434.510000000002</v>
      </c>
      <c r="C60" s="9">
        <v>44865</v>
      </c>
    </row>
    <row r="61" spans="1:3" x14ac:dyDescent="0.25">
      <c r="B61">
        <v>2050</v>
      </c>
    </row>
    <row r="62" spans="1:3" x14ac:dyDescent="0.25">
      <c r="A62" t="s">
        <v>3</v>
      </c>
      <c r="B62">
        <v>-20.170000000000002</v>
      </c>
    </row>
    <row r="63" spans="1:3" x14ac:dyDescent="0.25">
      <c r="A63" t="s">
        <v>16</v>
      </c>
      <c r="B63">
        <v>-600</v>
      </c>
    </row>
    <row r="64" spans="1:3" x14ac:dyDescent="0.25">
      <c r="B64">
        <f>SUM(B60:B63)</f>
        <v>15864.340000000004</v>
      </c>
      <c r="C64" s="9">
        <v>44895</v>
      </c>
    </row>
    <row r="65" spans="1:2" x14ac:dyDescent="0.25">
      <c r="A65" t="s">
        <v>24</v>
      </c>
      <c r="B65">
        <v>-220.48</v>
      </c>
    </row>
    <row r="66" spans="1:2" x14ac:dyDescent="0.25">
      <c r="A66" t="s">
        <v>16</v>
      </c>
      <c r="B66">
        <v>-100</v>
      </c>
    </row>
    <row r="67" spans="1:2" x14ac:dyDescent="0.25">
      <c r="B67">
        <v>1275</v>
      </c>
    </row>
    <row r="68" spans="1:2" x14ac:dyDescent="0.25">
      <c r="A68" t="s">
        <v>17</v>
      </c>
      <c r="B68">
        <v>-3800</v>
      </c>
    </row>
    <row r="69" spans="1:2" x14ac:dyDescent="0.25">
      <c r="A69" t="s">
        <v>3</v>
      </c>
      <c r="B69">
        <v>-21.79</v>
      </c>
    </row>
    <row r="70" spans="1:2" x14ac:dyDescent="0.25">
      <c r="B70">
        <v>1075</v>
      </c>
    </row>
    <row r="71" spans="1:2" x14ac:dyDescent="0.25">
      <c r="B71">
        <f>SUM(B64:B70)</f>
        <v>14072.070000000003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Financials</vt:lpstr>
      <vt:lpstr>Sheet1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Rebecca Blaschak</cp:lastModifiedBy>
  <cp:lastPrinted>2021-10-21T14:22:51Z</cp:lastPrinted>
  <dcterms:created xsi:type="dcterms:W3CDTF">2018-07-25T00:20:59Z</dcterms:created>
  <dcterms:modified xsi:type="dcterms:W3CDTF">2022-12-31T19:23:05Z</dcterms:modified>
</cp:coreProperties>
</file>