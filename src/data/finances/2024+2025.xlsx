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ca\Documents\"/>
    </mc:Choice>
  </mc:AlternateContent>
  <xr:revisionPtr revIDLastSave="0" documentId="8_{29BD8EC8-9B26-4309-8CA4-D28CEB44049E}" xr6:coauthVersionLast="47" xr6:coauthVersionMax="47" xr10:uidLastSave="{00000000-0000-0000-0000-000000000000}"/>
  <bookViews>
    <workbookView xWindow="-120" yWindow="-120" windowWidth="23280" windowHeight="14880" xr2:uid="{2F214E62-6EC7-4E43-99EB-DCE0CD622A91}"/>
  </bookViews>
  <sheets>
    <sheet name="2025 SoFC" sheetId="3" r:id="rId1"/>
    <sheet name="2024 SoFC" sheetId="2" r:id="rId2"/>
    <sheet name="Shee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26" i="3" s="1"/>
  <c r="E25" i="3"/>
  <c r="C24" i="3"/>
  <c r="E24" i="3" s="1"/>
  <c r="C23" i="3"/>
  <c r="E23" i="3" s="1"/>
  <c r="D22" i="3"/>
  <c r="E22" i="3" s="1"/>
  <c r="C22" i="3"/>
  <c r="C21" i="3"/>
  <c r="E21" i="3" s="1"/>
  <c r="E20" i="3"/>
  <c r="C20" i="3"/>
  <c r="E19" i="3"/>
  <c r="C19" i="3"/>
  <c r="D18" i="3"/>
  <c r="D27" i="3" s="1"/>
  <c r="C17" i="3"/>
  <c r="C27" i="3" s="1"/>
  <c r="C14" i="3"/>
  <c r="C14" i="2"/>
  <c r="C17" i="2"/>
  <c r="E17" i="2" s="1"/>
  <c r="D18" i="2"/>
  <c r="E18" i="2"/>
  <c r="C19" i="2"/>
  <c r="E19" i="2"/>
  <c r="C20" i="2"/>
  <c r="E20" i="2" s="1"/>
  <c r="C21" i="2"/>
  <c r="E21" i="2" s="1"/>
  <c r="C22" i="2"/>
  <c r="D22" i="2"/>
  <c r="E22" i="2"/>
  <c r="C23" i="2"/>
  <c r="E23" i="2"/>
  <c r="C24" i="2"/>
  <c r="E24" i="2"/>
  <c r="E25" i="2"/>
  <c r="C26" i="2"/>
  <c r="E26" i="2"/>
  <c r="D27" i="2"/>
  <c r="E27" i="3" l="1"/>
  <c r="E17" i="3"/>
  <c r="E18" i="3"/>
  <c r="C27" i="2"/>
  <c r="E27" i="2" s="1"/>
</calcChain>
</file>

<file path=xl/sharedStrings.xml><?xml version="1.0" encoding="utf-8"?>
<sst xmlns="http://schemas.openxmlformats.org/spreadsheetml/2006/main" count="59" uniqueCount="34">
  <si>
    <t>3. 205 people paid in 2024 (72%)</t>
  </si>
  <si>
    <t>2. 210 people paid in 2023 (74%)</t>
  </si>
  <si>
    <t>1. 215 people paid in 2022 (76%)</t>
  </si>
  <si>
    <t>NOTE:</t>
  </si>
  <si>
    <t xml:space="preserve">Total </t>
  </si>
  <si>
    <t>Misc (checks, paper statements, SCSTC)</t>
  </si>
  <si>
    <t>Website renewal</t>
  </si>
  <si>
    <t>Association Memberships</t>
  </si>
  <si>
    <t>Insurance</t>
  </si>
  <si>
    <t>BGE</t>
  </si>
  <si>
    <t>Access Tree Removal</t>
  </si>
  <si>
    <t>Real Property taxes</t>
  </si>
  <si>
    <t>Garden Club</t>
  </si>
  <si>
    <t>Aspen Grove</t>
  </si>
  <si>
    <t>Lawn Maintenance</t>
  </si>
  <si>
    <t>Difference</t>
  </si>
  <si>
    <t>Budgeted</t>
  </si>
  <si>
    <t>Actual</t>
  </si>
  <si>
    <t>Expenses</t>
  </si>
  <si>
    <t>Balance after Outstanding Checks</t>
  </si>
  <si>
    <t>Outstanding  Checks</t>
  </si>
  <si>
    <t>Playground Deposits</t>
  </si>
  <si>
    <t>Checking Balance as of 12/31/24</t>
  </si>
  <si>
    <t xml:space="preserve">Subject: Statement of Financial Condition </t>
  </si>
  <si>
    <t>From: Rebecca Blaschak, Treasurer</t>
  </si>
  <si>
    <t>To: Shipley's Choice Community Assoc. (SCAA), Officers, Directors and Members</t>
  </si>
  <si>
    <t>as of 12/31/2024</t>
  </si>
  <si>
    <t>STATEMENT OF FINANCIAL CONDITION</t>
  </si>
  <si>
    <t>SHIPLEY'S CHOICE COMMUNITY ASSOCIATION</t>
  </si>
  <si>
    <t>as of 12/31/2025</t>
  </si>
  <si>
    <t>Checking Balance as of 12/31/25</t>
  </si>
  <si>
    <t>Remaning Playground Funds for Section 2</t>
  </si>
  <si>
    <t>Balance after Outstanding Checks + Playground Funds</t>
  </si>
  <si>
    <t>4. 196 people paid in 2025 (69%)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</si>
</sst>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/>
    <xf numFmtId="164" fontId="2" fillId="0" borderId="0" xfId="1" applyNumberFormat="1" applyFont="1"/>
    <xf numFmtId="0" fontId="3" fillId="0" borderId="0" xfId="1" applyFont="1"/>
    <xf numFmtId="44" fontId="2" fillId="0" borderId="0" xfId="1" applyNumberFormat="1" applyFont="1"/>
    <xf numFmtId="44" fontId="3" fillId="0" borderId="0" xfId="1" applyNumberFormat="1" applyFont="1"/>
    <xf numFmtId="44" fontId="2" fillId="0" borderId="1" xfId="1" applyNumberFormat="1" applyFont="1" applyBorder="1"/>
    <xf numFmtId="44" fontId="2" fillId="0" borderId="0" xfId="1" applyNumberFormat="1" applyFont="1" applyAlignment="1">
      <alignment horizontal="right"/>
    </xf>
    <xf numFmtId="0" fontId="3" fillId="0" borderId="0" xfId="1" applyFont="1" applyAlignment="1">
      <alignment horizontal="center"/>
    </xf>
    <xf numFmtId="44" fontId="2" fillId="0" borderId="2" xfId="1" applyNumberFormat="1" applyFont="1" applyBorder="1"/>
    <xf numFmtId="0" fontId="2" fillId="2" borderId="0" xfId="1" applyFont="1" applyFill="1"/>
  </cellXfs>
  <cellStyles count="2">
    <cellStyle name="Normal" xfId="0" builtinId="0"/>
    <cellStyle name="Normal 2" xfId="1" xr:uid="{EBFFD836-15F8-4DA0-B032-30F76F3390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CCA%20SoFC.xlsb%20(1).xlsx" TargetMode="External"/><Relationship Id="rId2" Type="http://schemas.openxmlformats.org/officeDocument/2006/relationships/externalLinkPath" Target="file:///C:\Users\Becca\Downloads\SCCA%20SoFC.xlsb%20(1).xlsx" TargetMode="External"/><Relationship Id="rId1" Type="http://schemas.openxmlformats.org/officeDocument/2006/relationships/externalLinkPath" Target="/Users/Becca/Downloads/SCCA%20SoFC.xlsb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3 SoFC"/>
      <sheetName val="2023 exp."/>
      <sheetName val="2024 SoFC"/>
      <sheetName val="2024 exp."/>
      <sheetName val="2025 SoFC"/>
      <sheetName val="2025 exp."/>
      <sheetName val="2026 SoFC"/>
      <sheetName val="2026 exp."/>
      <sheetName val="2026 budget"/>
    </sheetNames>
    <sheetDataSet>
      <sheetData sheetId="0"/>
      <sheetData sheetId="1"/>
      <sheetData sheetId="2"/>
      <sheetData sheetId="3">
        <row r="3">
          <cell r="B3">
            <v>-31.29</v>
          </cell>
        </row>
        <row r="5">
          <cell r="B5">
            <v>-600</v>
          </cell>
        </row>
        <row r="6">
          <cell r="B6">
            <v>-6</v>
          </cell>
        </row>
        <row r="8">
          <cell r="B8">
            <v>-23.75</v>
          </cell>
        </row>
        <row r="9">
          <cell r="B9">
            <v>-100</v>
          </cell>
        </row>
        <row r="10">
          <cell r="B10">
            <v>-21.19</v>
          </cell>
        </row>
        <row r="11">
          <cell r="B11">
            <v>-250</v>
          </cell>
        </row>
        <row r="12">
          <cell r="B12">
            <v>-35</v>
          </cell>
        </row>
        <row r="13">
          <cell r="B13">
            <v>-6</v>
          </cell>
        </row>
        <row r="16">
          <cell r="B16">
            <v>-24.17</v>
          </cell>
        </row>
        <row r="17">
          <cell r="B17">
            <v>-6</v>
          </cell>
        </row>
        <row r="19">
          <cell r="B19">
            <v>-1500</v>
          </cell>
        </row>
        <row r="20">
          <cell r="B20">
            <v>-50</v>
          </cell>
        </row>
        <row r="21">
          <cell r="B21">
            <v>-210</v>
          </cell>
        </row>
        <row r="22">
          <cell r="B22">
            <v>-22.68</v>
          </cell>
        </row>
        <row r="23">
          <cell r="B23">
            <v>-1888</v>
          </cell>
        </row>
        <row r="25">
          <cell r="B25">
            <v>-6</v>
          </cell>
        </row>
        <row r="27">
          <cell r="B27">
            <v>-355.37</v>
          </cell>
        </row>
        <row r="28">
          <cell r="B28">
            <v>-210</v>
          </cell>
        </row>
        <row r="29">
          <cell r="B29">
            <v>-22.31</v>
          </cell>
        </row>
        <row r="30">
          <cell r="B30">
            <v>-3750</v>
          </cell>
        </row>
        <row r="31">
          <cell r="B31">
            <v>-210</v>
          </cell>
        </row>
        <row r="32">
          <cell r="B32">
            <v>-6</v>
          </cell>
        </row>
        <row r="34">
          <cell r="B34">
            <v>-2000</v>
          </cell>
        </row>
        <row r="35">
          <cell r="B35">
            <v>-210</v>
          </cell>
        </row>
        <row r="36">
          <cell r="B36">
            <v>-22.63</v>
          </cell>
        </row>
        <row r="37">
          <cell r="B37">
            <v>-6</v>
          </cell>
        </row>
        <row r="39">
          <cell r="B39">
            <v>-250</v>
          </cell>
        </row>
        <row r="40">
          <cell r="B40">
            <v>-21.9</v>
          </cell>
        </row>
        <row r="41">
          <cell r="B41">
            <v>-210</v>
          </cell>
        </row>
        <row r="42">
          <cell r="B42">
            <v>-96.15</v>
          </cell>
        </row>
        <row r="43">
          <cell r="B43">
            <v>-6</v>
          </cell>
        </row>
        <row r="47">
          <cell r="B47">
            <v>-22.33</v>
          </cell>
        </row>
        <row r="48">
          <cell r="B48">
            <v>-210</v>
          </cell>
        </row>
        <row r="49">
          <cell r="B49">
            <v>-6</v>
          </cell>
        </row>
        <row r="51">
          <cell r="B51">
            <v>-15.36</v>
          </cell>
        </row>
        <row r="52">
          <cell r="B52">
            <v>-17.899999999999999</v>
          </cell>
        </row>
        <row r="53">
          <cell r="B53">
            <v>-22.07</v>
          </cell>
        </row>
        <row r="54">
          <cell r="B54">
            <v>-6</v>
          </cell>
        </row>
        <row r="56">
          <cell r="B56">
            <v>-50</v>
          </cell>
        </row>
        <row r="57">
          <cell r="B57">
            <v>-210</v>
          </cell>
        </row>
        <row r="58">
          <cell r="B58">
            <v>-400</v>
          </cell>
        </row>
        <row r="62">
          <cell r="B62">
            <v>-6</v>
          </cell>
        </row>
        <row r="63">
          <cell r="B63">
            <v>-23.59</v>
          </cell>
        </row>
        <row r="66">
          <cell r="B66">
            <v>-23.44</v>
          </cell>
        </row>
        <row r="67">
          <cell r="B67">
            <v>-6</v>
          </cell>
        </row>
        <row r="69">
          <cell r="B69">
            <v>-1500</v>
          </cell>
        </row>
        <row r="70">
          <cell r="B70">
            <v>-1500</v>
          </cell>
        </row>
        <row r="72">
          <cell r="B72">
            <v>-350</v>
          </cell>
        </row>
        <row r="73">
          <cell r="B73">
            <v>-24.28</v>
          </cell>
        </row>
        <row r="74">
          <cell r="B74">
            <v>-6</v>
          </cell>
        </row>
      </sheetData>
      <sheetData sheetId="4"/>
      <sheetData sheetId="5">
        <row r="4">
          <cell r="B4">
            <v>-72.900000000000006</v>
          </cell>
        </row>
        <row r="5">
          <cell r="B5">
            <v>-33.619999999999997</v>
          </cell>
        </row>
        <row r="6">
          <cell r="B6">
            <v>-6</v>
          </cell>
        </row>
        <row r="8">
          <cell r="B8">
            <v>-50</v>
          </cell>
        </row>
        <row r="10">
          <cell r="B10">
            <v>-24.72</v>
          </cell>
        </row>
        <row r="12">
          <cell r="B12">
            <v>-21.19</v>
          </cell>
        </row>
        <row r="13">
          <cell r="B13">
            <v>-6</v>
          </cell>
        </row>
        <row r="15">
          <cell r="B15">
            <v>-400</v>
          </cell>
        </row>
        <row r="16">
          <cell r="B16">
            <v>-1500</v>
          </cell>
        </row>
        <row r="17">
          <cell r="B17">
            <v>-50</v>
          </cell>
        </row>
        <row r="18">
          <cell r="B18">
            <v>-23.5</v>
          </cell>
        </row>
        <row r="19">
          <cell r="B19">
            <v>-6</v>
          </cell>
        </row>
        <row r="21">
          <cell r="B21">
            <v>-3823</v>
          </cell>
        </row>
        <row r="22">
          <cell r="B22">
            <v>-24.69</v>
          </cell>
        </row>
        <row r="23">
          <cell r="B23">
            <v>-6</v>
          </cell>
        </row>
        <row r="25">
          <cell r="B25">
            <v>-220</v>
          </cell>
        </row>
        <row r="27">
          <cell r="B27">
            <v>-23.54</v>
          </cell>
        </row>
        <row r="28">
          <cell r="B28">
            <v>-6</v>
          </cell>
        </row>
        <row r="30">
          <cell r="B30">
            <v>-220</v>
          </cell>
        </row>
        <row r="31">
          <cell r="B31">
            <v>-23.32</v>
          </cell>
        </row>
        <row r="32">
          <cell r="B32">
            <v>-6</v>
          </cell>
        </row>
        <row r="35">
          <cell r="B35">
            <v>-220</v>
          </cell>
        </row>
        <row r="37">
          <cell r="B37">
            <v>-57.2</v>
          </cell>
        </row>
        <row r="40">
          <cell r="B40">
            <v>-3000</v>
          </cell>
        </row>
        <row r="43">
          <cell r="B43">
            <v>-110.76</v>
          </cell>
        </row>
        <row r="45">
          <cell r="B45">
            <v>-23.67</v>
          </cell>
        </row>
        <row r="46">
          <cell r="B46">
            <v>-6</v>
          </cell>
        </row>
        <row r="48">
          <cell r="B48">
            <v>-500</v>
          </cell>
        </row>
        <row r="51">
          <cell r="B51">
            <v>-2500</v>
          </cell>
        </row>
        <row r="52">
          <cell r="B52">
            <v>-23.52</v>
          </cell>
        </row>
        <row r="54">
          <cell r="B54">
            <v>-6</v>
          </cell>
        </row>
        <row r="56">
          <cell r="B56">
            <v>-220</v>
          </cell>
        </row>
        <row r="57">
          <cell r="B57">
            <v>-15.36</v>
          </cell>
        </row>
        <row r="58">
          <cell r="B58">
            <v>-17.91</v>
          </cell>
        </row>
        <row r="60">
          <cell r="B60">
            <v>-23.89</v>
          </cell>
        </row>
        <row r="61">
          <cell r="B61">
            <v>-6</v>
          </cell>
        </row>
        <row r="65">
          <cell r="B65">
            <v>-50</v>
          </cell>
        </row>
        <row r="66">
          <cell r="B66">
            <v>-26.04</v>
          </cell>
        </row>
        <row r="67">
          <cell r="B67">
            <v>-120</v>
          </cell>
        </row>
        <row r="69">
          <cell r="B69">
            <v>-6</v>
          </cell>
        </row>
        <row r="72">
          <cell r="B72">
            <v>-7150</v>
          </cell>
        </row>
        <row r="73">
          <cell r="B73">
            <v>-6</v>
          </cell>
        </row>
        <row r="75">
          <cell r="B75">
            <v>-25.64</v>
          </cell>
        </row>
        <row r="77">
          <cell r="B77">
            <v>-88.92</v>
          </cell>
        </row>
        <row r="79">
          <cell r="B79">
            <v>-26.48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EB5F-081C-42B1-962F-F670A572C104}">
  <dimension ref="A1:Z1000"/>
  <sheetViews>
    <sheetView tabSelected="1" workbookViewId="0"/>
  </sheetViews>
  <sheetFormatPr defaultColWidth="14.42578125" defaultRowHeight="15" customHeight="1" x14ac:dyDescent="0.25"/>
  <cols>
    <col min="1" max="1" width="73.42578125" style="1" customWidth="1"/>
    <col min="2" max="2" width="2.7109375" style="1" customWidth="1"/>
    <col min="3" max="3" width="12.42578125" style="1" customWidth="1"/>
    <col min="4" max="4" width="12.28515625" style="1" customWidth="1"/>
    <col min="5" max="5" width="12.42578125" style="1" customWidth="1"/>
    <col min="6" max="6" width="9.140625" style="1" customWidth="1"/>
    <col min="7" max="26" width="8.7109375" style="1" customWidth="1"/>
    <col min="27" max="16384" width="14.42578125" style="1"/>
  </cols>
  <sheetData>
    <row r="1" spans="1:26" x14ac:dyDescent="0.25">
      <c r="A1" s="4" t="s">
        <v>28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4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27</v>
      </c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1" t="s">
        <v>29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30</v>
      </c>
      <c r="B11" s="2"/>
      <c r="C11" s="5">
        <v>11894.99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31</v>
      </c>
      <c r="B12" s="2"/>
      <c r="C12" s="5">
        <v>1464.7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20</v>
      </c>
      <c r="B13" s="2"/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32</v>
      </c>
      <c r="B14" s="2"/>
      <c r="C14" s="6">
        <f>C11-C12-C13</f>
        <v>10430.289999999999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4" t="s">
        <v>18</v>
      </c>
      <c r="B16" s="2"/>
      <c r="C16" s="9" t="s">
        <v>17</v>
      </c>
      <c r="D16" s="1" t="s">
        <v>16</v>
      </c>
      <c r="E16" s="1" t="s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14</v>
      </c>
      <c r="B17" s="2"/>
      <c r="C17" s="5">
        <f>-SUM('[1]2025 exp.'!B25,'[1]2025 exp.'!B30,'[1]2025 exp.'!B35,'[1]2025 exp.'!B56,'[1]2025 exp.'!B67)</f>
        <v>1000</v>
      </c>
      <c r="D17" s="8">
        <v>5000</v>
      </c>
      <c r="E17" s="5">
        <f t="shared" ref="E17:E27" si="0">SUM(D17-C17)</f>
        <v>4000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13</v>
      </c>
      <c r="B18" s="2"/>
      <c r="C18" s="5">
        <v>0</v>
      </c>
      <c r="D18" s="8">
        <f>75*2</f>
        <v>150</v>
      </c>
      <c r="E18" s="5">
        <f t="shared" si="0"/>
        <v>150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12</v>
      </c>
      <c r="B19" s="2"/>
      <c r="C19" s="5">
        <f>-SUM('[1]2025 exp.'!B4,'[1]2025 exp.'!B12,'[1]2025 exp.'!B37,'[1]2025 exp.'!B43,'[1]2025 exp.'!B77)</f>
        <v>350.97</v>
      </c>
      <c r="D19" s="8">
        <v>400</v>
      </c>
      <c r="E19" s="5">
        <f t="shared" si="0"/>
        <v>49.029999999999973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11</v>
      </c>
      <c r="B20" s="2"/>
      <c r="C20" s="5">
        <f>-SUM('[1]2025 exp.'!B57:B58)</f>
        <v>33.269999999999996</v>
      </c>
      <c r="D20" s="8">
        <v>75</v>
      </c>
      <c r="E20" s="5">
        <f t="shared" si="0"/>
        <v>41.730000000000004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10</v>
      </c>
      <c r="B21" s="2"/>
      <c r="C21" s="5">
        <f>-SUM('[1]2025 exp.'!B15,'[1]2025 exp.'!B16,'[1]2025 exp.'!B40,'[1]2025 exp.'!B48,'[1]2025 exp.'!B51,'[1]2025 exp.'!B72)</f>
        <v>15050</v>
      </c>
      <c r="D21" s="8">
        <v>10000</v>
      </c>
      <c r="E21" s="5">
        <f t="shared" si="0"/>
        <v>-5050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 t="s">
        <v>9</v>
      </c>
      <c r="B22" s="2"/>
      <c r="C22" s="5">
        <f>-SUM('[1]2025 exp.'!B5,'[1]2025 exp.'!B10,'[1]2025 exp.'!B18,'[1]2025 exp.'!B22,'[1]2025 exp.'!B27,'[1]2025 exp.'!B31,'[1]2025 exp.'!B45,'[1]2025 exp.'!B52,'[1]2025 exp.'!B60,'[1]2025 exp.'!B66,'[1]2025 exp.'!B75,'[1]2025 exp.'!B79)</f>
        <v>302.63000000000005</v>
      </c>
      <c r="D22" s="8">
        <f>25*12</f>
        <v>300</v>
      </c>
      <c r="E22" s="5">
        <f t="shared" si="0"/>
        <v>-2.6300000000000523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 t="s">
        <v>8</v>
      </c>
      <c r="B23" s="2"/>
      <c r="C23" s="5">
        <f>-'[1]2025 exp.'!B21</f>
        <v>3823</v>
      </c>
      <c r="D23" s="8">
        <v>1750</v>
      </c>
      <c r="E23" s="5">
        <f t="shared" si="0"/>
        <v>-2073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 t="s">
        <v>7</v>
      </c>
      <c r="B24" s="2"/>
      <c r="C24" s="5">
        <f>-SUM('[1]2025 exp.'!B8,'[1]2025 exp.'!B17)</f>
        <v>100</v>
      </c>
      <c r="D24" s="8">
        <v>200</v>
      </c>
      <c r="E24" s="5">
        <f t="shared" si="0"/>
        <v>100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 t="s">
        <v>6</v>
      </c>
      <c r="B25" s="2"/>
      <c r="C25" s="5">
        <v>120</v>
      </c>
      <c r="D25" s="8">
        <v>120</v>
      </c>
      <c r="E25" s="5">
        <f t="shared" si="0"/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thickBot="1" x14ac:dyDescent="0.3">
      <c r="A26" s="1" t="s">
        <v>5</v>
      </c>
      <c r="B26" s="2"/>
      <c r="C26" s="7">
        <f>-SUM('[1]2025 exp.'!B6,'[1]2025 exp.'!B13,'[1]2025 exp.'!B19,'[1]2025 exp.'!B23,'[1]2025 exp.'!B28,'[1]2025 exp.'!B32,'[1]2025 exp.'!B46,'[1]2025 exp.'!B54,'[1]2025 exp.'!B61,'[1]2025 exp.'!B65,'[1]2025 exp.'!B69,'[1]2025 exp.'!B73)</f>
        <v>116</v>
      </c>
      <c r="D26" s="7"/>
      <c r="E26" s="7">
        <f t="shared" si="0"/>
        <v>-116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4" t="s">
        <v>4</v>
      </c>
      <c r="B27" s="2"/>
      <c r="C27" s="6">
        <f t="shared" ref="C27:D27" si="1">SUM(C17:C26)</f>
        <v>20895.870000000003</v>
      </c>
      <c r="D27" s="5">
        <f t="shared" si="1"/>
        <v>17995</v>
      </c>
      <c r="E27" s="5">
        <f t="shared" si="0"/>
        <v>-2900.8700000000026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 t="s">
        <v>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 t="s">
        <v>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 t="s">
        <v>0</v>
      </c>
      <c r="B32" s="2"/>
      <c r="C32" s="3">
        <v>17655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4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BCBB-0DB2-4D25-9F9C-184274883CD4}">
  <dimension ref="A1:Z1000"/>
  <sheetViews>
    <sheetView workbookViewId="0"/>
  </sheetViews>
  <sheetFormatPr defaultColWidth="14.42578125" defaultRowHeight="15" customHeight="1" x14ac:dyDescent="0.25"/>
  <cols>
    <col min="1" max="1" width="73.42578125" style="1" customWidth="1"/>
    <col min="2" max="2" width="2.7109375" style="1" customWidth="1"/>
    <col min="3" max="3" width="12.42578125" style="1" customWidth="1"/>
    <col min="4" max="4" width="12.28515625" style="1" customWidth="1"/>
    <col min="5" max="5" width="12.42578125" style="1" customWidth="1"/>
    <col min="6" max="6" width="9.140625" style="1" customWidth="1"/>
    <col min="7" max="26" width="8.7109375" style="1" customWidth="1"/>
    <col min="27" max="16384" width="14.42578125" style="1"/>
  </cols>
  <sheetData>
    <row r="1" spans="1:26" x14ac:dyDescent="0.25">
      <c r="A1" s="4" t="s">
        <v>28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4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27</v>
      </c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1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22</v>
      </c>
      <c r="B11" s="2"/>
      <c r="C11" s="5">
        <v>13321.16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21</v>
      </c>
      <c r="B12" s="2"/>
      <c r="C12" s="5">
        <v>155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20</v>
      </c>
      <c r="B13" s="2"/>
      <c r="C13" s="10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19</v>
      </c>
      <c r="B14" s="2"/>
      <c r="C14" s="6">
        <f>C11-C12-C13</f>
        <v>13166.16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4" t="s">
        <v>18</v>
      </c>
      <c r="B16" s="2"/>
      <c r="C16" s="9" t="s">
        <v>17</v>
      </c>
      <c r="D16" s="1" t="s">
        <v>16</v>
      </c>
      <c r="E16" s="1" t="s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14</v>
      </c>
      <c r="B17" s="2"/>
      <c r="C17" s="5">
        <f>-SUM('[1]2024 exp.'!B5,'[1]2024 exp.'!B11,'[1]2024 exp.'!B19,'[1]2024 exp.'!B21,'[1]2024 exp.'!B28,'[1]2024 exp.'!B31,'[1]2024 exp.'!B35,'[1]2024 exp.'!B39,'[1]2024 exp.'!B41,'[1]2024 exp.'!B48,'[1]2024 exp.'!B57,'[1]2024 exp.'!B72)</f>
        <v>4420</v>
      </c>
      <c r="D17" s="8">
        <v>5000</v>
      </c>
      <c r="E17" s="5">
        <f>SUM(D17-C17)</f>
        <v>580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13</v>
      </c>
      <c r="B18" s="2"/>
      <c r="C18" s="5"/>
      <c r="D18" s="8">
        <f>75*2</f>
        <v>150</v>
      </c>
      <c r="E18" s="5">
        <f>SUM(D18-C18)</f>
        <v>150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12</v>
      </c>
      <c r="B19" s="2"/>
      <c r="C19" s="5">
        <f>-SUM('[1]2024 exp.'!B10,'[1]2024 exp.'!B42)</f>
        <v>117.34</v>
      </c>
      <c r="D19" s="8">
        <v>400</v>
      </c>
      <c r="E19" s="5">
        <f>SUM(D19-C19)</f>
        <v>282.65999999999997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11</v>
      </c>
      <c r="B20" s="2"/>
      <c r="C20" s="5">
        <f>-SUM('[1]2024 exp.'!B51:B52)</f>
        <v>33.26</v>
      </c>
      <c r="D20" s="8">
        <v>75</v>
      </c>
      <c r="E20" s="5">
        <f>SUM(D20-C20)</f>
        <v>41.74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10</v>
      </c>
      <c r="B21" s="2"/>
      <c r="C21" s="5">
        <f>-SUM('[1]2024 exp.'!B30,'[1]2024 exp.'!B34,'[1]2024 exp.'!B58,'[1]2024 exp.'!B69:B70)</f>
        <v>9150</v>
      </c>
      <c r="D21" s="8">
        <v>10000</v>
      </c>
      <c r="E21" s="5">
        <f>SUM(D21-C21)</f>
        <v>850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 t="s">
        <v>9</v>
      </c>
      <c r="B22" s="2"/>
      <c r="C22" s="5">
        <f>-SUM('[1]2024 exp.'!B3,'[1]2024 exp.'!B8,'[1]2024 exp.'!B16,'[1]2024 exp.'!B22,'[1]2024 exp.'!B29,'[1]2024 exp.'!B36,'[1]2024 exp.'!B40,'[1]2024 exp.'!B47,'[1]2024 exp.'!B53,'[1]2024 exp.'!B63,'[1]2024 exp.'!B66,'[1]2024 exp.'!B73)</f>
        <v>284.44000000000005</v>
      </c>
      <c r="D22" s="8">
        <f>25*12</f>
        <v>300</v>
      </c>
      <c r="E22" s="5">
        <f>SUM(D22-C22)</f>
        <v>15.559999999999945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 t="s">
        <v>8</v>
      </c>
      <c r="B23" s="2"/>
      <c r="C23" s="5">
        <f>-SUM('[1]2024 exp.'!B23)</f>
        <v>1888</v>
      </c>
      <c r="D23" s="8">
        <v>1750</v>
      </c>
      <c r="E23" s="5">
        <f>SUM(D23-C23)</f>
        <v>-138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 t="s">
        <v>7</v>
      </c>
      <c r="B24" s="2"/>
      <c r="C24" s="5">
        <f>-SUM('[1]2024 exp.'!B9,'[1]2024 exp.'!B12,'[1]2024 exp.'!B20)</f>
        <v>185</v>
      </c>
      <c r="D24" s="8">
        <v>200</v>
      </c>
      <c r="E24" s="5">
        <f>SUM(D24-C24)</f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 t="s">
        <v>6</v>
      </c>
      <c r="B25" s="2"/>
      <c r="C25" s="5">
        <v>120</v>
      </c>
      <c r="D25" s="8">
        <v>120</v>
      </c>
      <c r="E25" s="5">
        <f>SUM(D25-C25)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thickBot="1" x14ac:dyDescent="0.3">
      <c r="A26" s="1" t="s">
        <v>5</v>
      </c>
      <c r="B26" s="2"/>
      <c r="C26" s="7">
        <f>-SUM('[1]2024 exp.'!B6,'[1]2024 exp.'!B13,'[1]2024 exp.'!B17,'[1]2024 exp.'!B25,'[1]2024 exp.'!B27,'[1]2024 exp.'!B32,'[1]2024 exp.'!B37,'[1]2024 exp.'!B43,'[1]2024 exp.'!B49,'[1]2024 exp.'!B54,'[1]2024 exp.'!B56,'[1]2024 exp.'!B62,'[1]2024 exp.'!B67,'[1]2024 exp.'!B74)</f>
        <v>477.37</v>
      </c>
      <c r="D26" s="7"/>
      <c r="E26" s="7">
        <f>SUM(D26-C26)</f>
        <v>-477.37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4" t="s">
        <v>4</v>
      </c>
      <c r="B27" s="2"/>
      <c r="C27" s="6">
        <f>SUM(C17:C26)</f>
        <v>16675.41</v>
      </c>
      <c r="D27" s="5">
        <f>SUM(D17:D26)</f>
        <v>17995</v>
      </c>
      <c r="E27" s="5">
        <f>SUM(D27-C27)</f>
        <v>1319.5900000000001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 t="s">
        <v>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 t="s">
        <v>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4" t="s">
        <v>0</v>
      </c>
      <c r="B32" s="2"/>
      <c r="C32" s="3">
        <v>17655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CA43-9299-47BC-81D8-14930C10C9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SoFC</vt:lpstr>
      <vt:lpstr>2024 SoFC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</dc:creator>
  <cp:lastModifiedBy>Rebecca B</cp:lastModifiedBy>
  <dcterms:created xsi:type="dcterms:W3CDTF">2026-08-19T01:34:24Z</dcterms:created>
  <dcterms:modified xsi:type="dcterms:W3CDTF">2026-08-19T01:36:11Z</dcterms:modified>
</cp:coreProperties>
</file>